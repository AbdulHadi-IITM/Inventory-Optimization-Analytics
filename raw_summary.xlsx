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bdul Hadi\Desktop\PRO\bdm\"/>
    </mc:Choice>
  </mc:AlternateContent>
  <xr:revisionPtr revIDLastSave="0" documentId="8_{17AB0A43-0A20-418F-9D93-B0D9A299F1C2}" xr6:coauthVersionLast="47" xr6:coauthVersionMax="47" xr10:uidLastSave="{00000000-0000-0000-0000-000000000000}"/>
  <bookViews>
    <workbookView xWindow="-108" yWindow="-108" windowWidth="23256" windowHeight="12456" xr2:uid="{24AF96DA-D079-4D61-B50F-A3E4B79285CB}"/>
  </bookViews>
  <sheets>
    <sheet name="Raw Summary" sheetId="1" r:id="rId1"/>
  </sheets>
  <externalReferences>
    <externalReference r:id="rId2"/>
  </externalReferences>
  <calcPr calcId="191029"/>
  <pivotCaches>
    <pivotCache cacheId="9" r:id="rId3"/>
    <pivotCache cacheId="2" r:id="rId4"/>
    <pivotCache cacheId="1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76" i="1" l="1"/>
  <c r="H176" i="1"/>
  <c r="G176" i="1"/>
  <c r="F176" i="1"/>
  <c r="I175" i="1"/>
  <c r="H175" i="1"/>
  <c r="F175" i="1"/>
  <c r="G175" i="1" s="1"/>
  <c r="I174" i="1"/>
  <c r="H174" i="1"/>
  <c r="G174" i="1"/>
  <c r="F174" i="1"/>
  <c r="I173" i="1"/>
  <c r="H173" i="1"/>
  <c r="G173" i="1"/>
  <c r="F173" i="1"/>
  <c r="I172" i="1"/>
  <c r="H172" i="1"/>
  <c r="F172" i="1"/>
  <c r="G172" i="1" s="1"/>
  <c r="I171" i="1"/>
  <c r="H171" i="1"/>
  <c r="G171" i="1"/>
  <c r="F171" i="1"/>
  <c r="I170" i="1"/>
  <c r="H170" i="1"/>
  <c r="G170" i="1"/>
  <c r="F170" i="1"/>
  <c r="I169" i="1"/>
  <c r="H169" i="1"/>
  <c r="F169" i="1"/>
  <c r="G169" i="1" s="1"/>
  <c r="I168" i="1"/>
  <c r="H168" i="1"/>
  <c r="G168" i="1"/>
  <c r="F168" i="1"/>
  <c r="I167" i="1"/>
  <c r="H167" i="1"/>
  <c r="G167" i="1"/>
  <c r="F167" i="1"/>
  <c r="I166" i="1"/>
  <c r="H166" i="1"/>
  <c r="F166" i="1"/>
  <c r="G166" i="1" s="1"/>
  <c r="I165" i="1"/>
  <c r="H165" i="1"/>
  <c r="G165" i="1"/>
  <c r="F165" i="1"/>
  <c r="I164" i="1"/>
  <c r="H164" i="1"/>
  <c r="F164" i="1"/>
  <c r="G164" i="1" s="1"/>
  <c r="I163" i="1"/>
  <c r="H163" i="1"/>
  <c r="F163" i="1"/>
  <c r="G163" i="1" s="1"/>
  <c r="I162" i="1"/>
  <c r="H162" i="1"/>
  <c r="G162" i="1"/>
  <c r="F162" i="1"/>
  <c r="I161" i="1"/>
  <c r="H161" i="1"/>
  <c r="F161" i="1"/>
  <c r="G161" i="1" s="1"/>
  <c r="I160" i="1"/>
  <c r="H160" i="1"/>
  <c r="F160" i="1"/>
  <c r="G160" i="1" s="1"/>
  <c r="J160" i="1" s="1"/>
  <c r="K160" i="1" s="1"/>
  <c r="I159" i="1"/>
  <c r="H159" i="1"/>
  <c r="G159" i="1"/>
  <c r="F159" i="1"/>
  <c r="I158" i="1"/>
  <c r="H158" i="1"/>
  <c r="F158" i="1"/>
  <c r="G158" i="1" s="1"/>
  <c r="I157" i="1"/>
  <c r="H157" i="1"/>
  <c r="F157" i="1"/>
  <c r="G157" i="1" s="1"/>
  <c r="I156" i="1"/>
  <c r="H156" i="1"/>
  <c r="G156" i="1"/>
  <c r="F156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J129" i="1"/>
  <c r="J130" i="1" s="1"/>
  <c r="I129" i="1"/>
  <c r="J128" i="1"/>
  <c r="K128" i="1" s="1"/>
  <c r="I128" i="1"/>
  <c r="H25" i="1"/>
  <c r="G25" i="1"/>
  <c r="I24" i="1"/>
  <c r="J24" i="1" s="1"/>
  <c r="I23" i="1"/>
  <c r="J23" i="1" s="1"/>
  <c r="I22" i="1"/>
  <c r="J22" i="1" s="1"/>
  <c r="J21" i="1"/>
  <c r="I21" i="1"/>
  <c r="J20" i="1"/>
  <c r="I20" i="1"/>
  <c r="I19" i="1"/>
  <c r="J19" i="1" s="1"/>
  <c r="I18" i="1"/>
  <c r="J18" i="1" s="1"/>
  <c r="I17" i="1"/>
  <c r="J17" i="1" s="1"/>
  <c r="I16" i="1"/>
  <c r="J16" i="1" s="1"/>
  <c r="J15" i="1"/>
  <c r="I15" i="1"/>
  <c r="J14" i="1"/>
  <c r="I14" i="1"/>
  <c r="I13" i="1"/>
  <c r="J13" i="1" s="1"/>
  <c r="I12" i="1"/>
  <c r="J12" i="1" s="1"/>
  <c r="I11" i="1"/>
  <c r="J11" i="1" s="1"/>
  <c r="I10" i="1"/>
  <c r="J10" i="1" s="1"/>
  <c r="C10" i="1"/>
  <c r="I9" i="1"/>
  <c r="J9" i="1" s="1"/>
  <c r="J8" i="1"/>
  <c r="I8" i="1"/>
  <c r="J7" i="1"/>
  <c r="I7" i="1"/>
  <c r="I6" i="1"/>
  <c r="J6" i="1" s="1"/>
  <c r="I5" i="1"/>
  <c r="J5" i="1" s="1"/>
  <c r="J4" i="1"/>
  <c r="I4" i="1"/>
  <c r="C4" i="1"/>
  <c r="C3" i="1"/>
  <c r="J167" i="1" l="1"/>
  <c r="J174" i="1"/>
  <c r="K174" i="1" s="1"/>
  <c r="J168" i="1"/>
  <c r="J157" i="1"/>
  <c r="K157" i="1" s="1"/>
  <c r="J171" i="1"/>
  <c r="K171" i="1" s="1"/>
  <c r="K161" i="1"/>
  <c r="J165" i="1"/>
  <c r="K165" i="1" s="1"/>
  <c r="J175" i="1"/>
  <c r="K175" i="1" s="1"/>
  <c r="K158" i="1"/>
  <c r="J172" i="1"/>
  <c r="K172" i="1" s="1"/>
  <c r="J166" i="1"/>
  <c r="K166" i="1" s="1"/>
  <c r="J164" i="1"/>
  <c r="J131" i="1"/>
  <c r="K130" i="1"/>
  <c r="J169" i="1"/>
  <c r="K169" i="1" s="1"/>
  <c r="J159" i="1"/>
  <c r="K159" i="1" s="1"/>
  <c r="J176" i="1"/>
  <c r="K176" i="1" s="1"/>
  <c r="K164" i="1"/>
  <c r="K167" i="1"/>
  <c r="J161" i="1"/>
  <c r="J158" i="1"/>
  <c r="K168" i="1"/>
  <c r="J162" i="1"/>
  <c r="K162" i="1"/>
  <c r="J163" i="1"/>
  <c r="K163" i="1" s="1"/>
  <c r="J173" i="1"/>
  <c r="K173" i="1" s="1"/>
  <c r="J156" i="1"/>
  <c r="K156" i="1" s="1"/>
  <c r="J170" i="1"/>
  <c r="K170" i="1" s="1"/>
  <c r="K129" i="1"/>
  <c r="L161" i="1" l="1"/>
  <c r="M161" i="1" s="1"/>
  <c r="L158" i="1"/>
  <c r="M158" i="1" s="1"/>
  <c r="L176" i="1"/>
  <c r="M176" i="1" s="1"/>
  <c r="L173" i="1"/>
  <c r="M173" i="1" s="1"/>
  <c r="L170" i="1"/>
  <c r="M170" i="1" s="1"/>
  <c r="L167" i="1"/>
  <c r="M167" i="1" s="1"/>
  <c r="L164" i="1"/>
  <c r="M164" i="1" s="1"/>
  <c r="L175" i="1"/>
  <c r="M175" i="1" s="1"/>
  <c r="L166" i="1"/>
  <c r="M166" i="1" s="1"/>
  <c r="L160" i="1"/>
  <c r="M160" i="1" s="1"/>
  <c r="L157" i="1"/>
  <c r="M157" i="1" s="1"/>
  <c r="L174" i="1"/>
  <c r="M174" i="1" s="1"/>
  <c r="L171" i="1"/>
  <c r="M171" i="1" s="1"/>
  <c r="L168" i="1"/>
  <c r="M168" i="1" s="1"/>
  <c r="L165" i="1"/>
  <c r="M165" i="1" s="1"/>
  <c r="L162" i="1"/>
  <c r="M162" i="1" s="1"/>
  <c r="L159" i="1"/>
  <c r="M159" i="1" s="1"/>
  <c r="L156" i="1"/>
  <c r="M156" i="1" s="1"/>
  <c r="L172" i="1"/>
  <c r="M172" i="1" s="1"/>
  <c r="L169" i="1"/>
  <c r="M169" i="1" s="1"/>
  <c r="L163" i="1"/>
  <c r="M163" i="1" s="1"/>
  <c r="J132" i="1"/>
  <c r="K131" i="1"/>
  <c r="K132" i="1" l="1"/>
  <c r="J133" i="1"/>
  <c r="J134" i="1" l="1"/>
  <c r="K133" i="1"/>
  <c r="J135" i="1" l="1"/>
  <c r="K134" i="1"/>
  <c r="J136" i="1" l="1"/>
  <c r="K135" i="1"/>
  <c r="K136" i="1" l="1"/>
  <c r="J137" i="1"/>
  <c r="K137" i="1" l="1"/>
  <c r="J138" i="1"/>
  <c r="J139" i="1" l="1"/>
  <c r="K138" i="1"/>
  <c r="J140" i="1" l="1"/>
  <c r="K139" i="1"/>
  <c r="K140" i="1" l="1"/>
  <c r="J141" i="1"/>
  <c r="J142" i="1" l="1"/>
  <c r="K141" i="1"/>
  <c r="J143" i="1" l="1"/>
  <c r="K142" i="1"/>
  <c r="J144" i="1" l="1"/>
  <c r="K143" i="1"/>
  <c r="K144" i="1" l="1"/>
  <c r="J145" i="1"/>
  <c r="K145" i="1" l="1"/>
  <c r="J146" i="1"/>
  <c r="J147" i="1" l="1"/>
  <c r="K146" i="1"/>
  <c r="J148" i="1" l="1"/>
  <c r="K148" i="1" s="1"/>
  <c r="K147" i="1"/>
</calcChain>
</file>

<file path=xl/sharedStrings.xml><?xml version="1.0" encoding="utf-8"?>
<sst xmlns="http://schemas.openxmlformats.org/spreadsheetml/2006/main" count="377" uniqueCount="154">
  <si>
    <t>A.R. FURNITURES – SUMMARY DASHBOARD (May–Aug 2024)</t>
  </si>
  <si>
    <t>Total Sales (₹)</t>
  </si>
  <si>
    <t>Item Code</t>
  </si>
  <si>
    <t>Item Description</t>
  </si>
  <si>
    <t>Purchase Rate</t>
  </si>
  <si>
    <t>Sales Rate</t>
  </si>
  <si>
    <t>Profit</t>
  </si>
  <si>
    <t>Profit Margin %</t>
  </si>
  <si>
    <t>Total Purchase (₹)</t>
  </si>
  <si>
    <t>BSF (A)</t>
  </si>
  <si>
    <t>Bed Side Frame (A)</t>
  </si>
  <si>
    <t>Total Profit (₹)</t>
  </si>
  <si>
    <t>BSF (B)</t>
  </si>
  <si>
    <t>Bed Side Frame (B)</t>
  </si>
  <si>
    <t>BSF (C)</t>
  </si>
  <si>
    <t>Bed Side Frame (C)</t>
  </si>
  <si>
    <t>Highest Selling Product</t>
  </si>
  <si>
    <t>Sofa Side Frame (B)</t>
  </si>
  <si>
    <t>BSF (D)</t>
  </si>
  <si>
    <t>Bed Side Frame (D)</t>
  </si>
  <si>
    <t>BSF (F)</t>
  </si>
  <si>
    <t>Bed Side Frame (F)</t>
  </si>
  <si>
    <t>Number of Sales Transactions</t>
  </si>
  <si>
    <t>Chair Frame (A)</t>
  </si>
  <si>
    <t>Number of Purchase Transactions</t>
  </si>
  <si>
    <t>Chair Frame (B)</t>
  </si>
  <si>
    <t>CTF (A)</t>
  </si>
  <si>
    <t>Centre Table Frame (A)</t>
  </si>
  <si>
    <t>CTF (B)</t>
  </si>
  <si>
    <t>Centre Table Frame (B)</t>
  </si>
  <si>
    <t>CTF (C)</t>
  </si>
  <si>
    <t>Centre Table Frame (C)</t>
  </si>
  <si>
    <t>CTSF (A)</t>
  </si>
  <si>
    <t>Centre Table Side Frame (A)</t>
  </si>
  <si>
    <t>DCF (A)</t>
  </si>
  <si>
    <t>Dining Chair Frame (A)</t>
  </si>
  <si>
    <t>DCF (B)</t>
  </si>
  <si>
    <t>Dining Chair Frame (B)</t>
  </si>
  <si>
    <t>DCF (C)</t>
  </si>
  <si>
    <t>Dining Chair Frame (C)</t>
  </si>
  <si>
    <t>DCF (D)</t>
  </si>
  <si>
    <t>Dining Chair Frame (D)</t>
  </si>
  <si>
    <t xml:space="preserve"> </t>
  </si>
  <si>
    <t>SSF (A)</t>
  </si>
  <si>
    <t>Sofa Side Frame (A)</t>
  </si>
  <si>
    <t>SSF (B)</t>
  </si>
  <si>
    <t>SSF (C)</t>
  </si>
  <si>
    <t>Sofa Side Frame (C)</t>
  </si>
  <si>
    <t>SSF (D)</t>
  </si>
  <si>
    <t>Sofa Side Frame (D)</t>
  </si>
  <si>
    <t>SSF (E)</t>
  </si>
  <si>
    <t>Sofa Side Frame (E)</t>
  </si>
  <si>
    <t>Teak Sawn Timber</t>
  </si>
  <si>
    <t>Teak Sawn Timber Different Cut Size</t>
  </si>
  <si>
    <t>Total</t>
  </si>
  <si>
    <t>Revenue Share by Customer Type (May–Aug 2024</t>
  </si>
  <si>
    <t>Row Labels</t>
  </si>
  <si>
    <t>Sum of Total Sales</t>
  </si>
  <si>
    <t>Carpenter</t>
  </si>
  <si>
    <t>Not Available</t>
  </si>
  <si>
    <t>Retail</t>
  </si>
  <si>
    <t>Grand Total</t>
  </si>
  <si>
    <t xml:space="preserve">Sales Total </t>
  </si>
  <si>
    <t>Sum of Qty</t>
  </si>
  <si>
    <t>Column Labels</t>
  </si>
  <si>
    <t>Apr-2025</t>
  </si>
  <si>
    <t>Jul-2025</t>
  </si>
  <si>
    <t>Jun-2025</t>
  </si>
  <si>
    <t>May-2025</t>
  </si>
  <si>
    <t>Purchase Total</t>
  </si>
  <si>
    <t>Date</t>
  </si>
  <si>
    <t>(All)</t>
  </si>
  <si>
    <t>Sum of Total Amount</t>
  </si>
  <si>
    <t>ABC Classification ( Profit-Based )</t>
  </si>
  <si>
    <t>Qty Sold</t>
  </si>
  <si>
    <t>Total Profit</t>
  </si>
  <si>
    <t>Profit Contribution</t>
  </si>
  <si>
    <t>Cumulative %</t>
  </si>
  <si>
    <t>ABC Category</t>
  </si>
  <si>
    <t>ABC Classification ( Profit–Frequency–Stability )</t>
  </si>
  <si>
    <t>Sales Frequency</t>
  </si>
  <si>
    <t>Total Quantity Sold (4 Months)</t>
  </si>
  <si>
    <t>Average Monthly Demand</t>
  </si>
  <si>
    <t>DSI</t>
  </si>
  <si>
    <t>Normalised Profit</t>
  </si>
  <si>
    <t>Normalised Sales Frequency</t>
  </si>
  <si>
    <t>Normalised Stability (Inverted)</t>
  </si>
  <si>
    <t>ABC Score</t>
  </si>
  <si>
    <t>ABC Class</t>
  </si>
  <si>
    <t>Bins</t>
  </si>
  <si>
    <t>Bin</t>
  </si>
  <si>
    <t>Frequency</t>
  </si>
  <si>
    <t>More</t>
  </si>
  <si>
    <t>Demand Trend Analysis</t>
  </si>
  <si>
    <t>Month</t>
  </si>
  <si>
    <t>Total Sales</t>
  </si>
  <si>
    <t>3-Month Moving Average</t>
  </si>
  <si>
    <t>Demand Trend Interpretation</t>
  </si>
  <si>
    <t>Baseline month (no trend computed)</t>
  </si>
  <si>
    <t>Increasing demand observed</t>
  </si>
  <si>
    <t>Strong upward trend indicating peak demand</t>
  </si>
  <si>
    <t>Slight decline, but demand remains high</t>
  </si>
  <si>
    <t>Demand Trend</t>
  </si>
  <si>
    <t>Stable</t>
  </si>
  <si>
    <t>Declining</t>
  </si>
  <si>
    <t>Rising</t>
  </si>
  <si>
    <t>FINAL INSIGHTS</t>
  </si>
  <si>
    <t>Interpretation</t>
  </si>
  <si>
    <t>Recommended Action</t>
  </si>
  <si>
    <t>A</t>
  </si>
  <si>
    <t>High-value item with consistent demand</t>
  </si>
  <si>
    <t>Maintain optimal stock levels; monitor weekly</t>
  </si>
  <si>
    <t>Strong performer with steady demand</t>
  </si>
  <si>
    <t>Maintain safety stock; ensure supplier reliability</t>
  </si>
  <si>
    <t>Consistent demand but slightly volatile</t>
  </si>
  <si>
    <t>Regular review; avoid overstocking</t>
  </si>
  <si>
    <t>High-value &amp; rising demand</t>
  </si>
  <si>
    <t>Increase procurement; prioritize availability</t>
  </si>
  <si>
    <t>Growing demand and high contribution</t>
  </si>
  <si>
    <t>Increase reorder frequency; avoid stock-outs</t>
  </si>
  <si>
    <t>Stable upward trend</t>
  </si>
  <si>
    <t>Plan capacity increase</t>
  </si>
  <si>
    <t>Reliable performer</t>
  </si>
  <si>
    <t>Maintain current stock policy</t>
  </si>
  <si>
    <t>Growing demand item</t>
  </si>
  <si>
    <t>Maintain buffer stock</t>
  </si>
  <si>
    <t>Steady consumption</t>
  </si>
  <si>
    <t>Maintain reorder point</t>
  </si>
  <si>
    <t>Predictable sales</t>
  </si>
  <si>
    <t>Standard replenishment cycle</t>
  </si>
  <si>
    <t>Moderate but steady</t>
  </si>
  <si>
    <t>Monitor periodically</t>
  </si>
  <si>
    <t>B</t>
  </si>
  <si>
    <t>Demand decreasing</t>
  </si>
  <si>
    <t>Reduce reorder quantity</t>
  </si>
  <si>
    <t>Moderate importance</t>
  </si>
  <si>
    <t>Controlled stocking</t>
  </si>
  <si>
    <t>Average movement</t>
  </si>
  <si>
    <t>Low-priority monitoring</t>
  </si>
  <si>
    <t>Low volume, consistent</t>
  </si>
  <si>
    <t>Keep minimal safety stock</t>
  </si>
  <si>
    <t>Stable but low movement</t>
  </si>
  <si>
    <t>Avoid overstock</t>
  </si>
  <si>
    <t>C</t>
  </si>
  <si>
    <t>Low importance item</t>
  </si>
  <si>
    <t>Order only on demand</t>
  </si>
  <si>
    <t>Low contribution</t>
  </si>
  <si>
    <t>Minimize holding cost</t>
  </si>
  <si>
    <t>Low turnover</t>
  </si>
  <si>
    <t>Avoid bulk purchasing</t>
  </si>
  <si>
    <t>Least moving item</t>
  </si>
  <si>
    <t>Consider discontinuation</t>
  </si>
  <si>
    <t>Very low contribution</t>
  </si>
  <si>
    <t>Phase-out candidate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</si>
</sst>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14009]dd/mm/yyyy;@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Arial Unicode MS"/>
    </font>
    <font>
      <b/>
      <sz val="11"/>
      <name val="Calibri"/>
      <family val="2"/>
    </font>
    <font>
      <i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C6D9F0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3" borderId="1" xfId="0" applyFont="1" applyFill="1" applyBorder="1" applyAlignment="1">
      <alignment horizontal="center" vertical="top"/>
    </xf>
    <xf numFmtId="0" fontId="3" fillId="0" borderId="0" xfId="0" applyFont="1" applyAlignment="1">
      <alignment vertical="center"/>
    </xf>
    <xf numFmtId="0" fontId="0" fillId="4" borderId="0" xfId="0" applyFill="1"/>
    <xf numFmtId="2" fontId="0" fillId="4" borderId="0" xfId="0" applyNumberFormat="1" applyFill="1"/>
    <xf numFmtId="0" fontId="0" fillId="5" borderId="2" xfId="0" applyFill="1" applyBorder="1"/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2" borderId="0" xfId="0" applyFont="1" applyFill="1" applyAlignment="1">
      <alignment horizontal="left"/>
    </xf>
    <xf numFmtId="0" fontId="7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vertical="center" wrapText="1"/>
    </xf>
    <xf numFmtId="0" fontId="1" fillId="6" borderId="5" xfId="0" applyFont="1" applyFill="1" applyBorder="1" applyAlignment="1">
      <alignment vertical="center"/>
    </xf>
    <xf numFmtId="0" fontId="0" fillId="7" borderId="5" xfId="0" applyFill="1" applyBorder="1" applyAlignment="1">
      <alignment horizontal="center" vertical="center" wrapText="1"/>
    </xf>
    <xf numFmtId="164" fontId="0" fillId="7" borderId="5" xfId="0" applyNumberFormat="1" applyFill="1" applyBorder="1" applyAlignment="1">
      <alignment horizontal="center" vertical="center" wrapText="1"/>
    </xf>
    <xf numFmtId="0" fontId="0" fillId="8" borderId="5" xfId="0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3" borderId="0" xfId="0" applyFill="1" applyAlignment="1">
      <alignment horizontal="center" vertical="center"/>
    </xf>
    <xf numFmtId="0" fontId="0" fillId="10" borderId="0" xfId="0" applyFill="1"/>
    <xf numFmtId="0" fontId="5" fillId="0" borderId="6" xfId="0" applyFont="1" applyBorder="1" applyAlignment="1">
      <alignment horizontal="center"/>
    </xf>
    <xf numFmtId="0" fontId="0" fillId="0" borderId="7" xfId="0" applyBorder="1"/>
    <xf numFmtId="0" fontId="8" fillId="2" borderId="0" xfId="0" applyFont="1" applyFill="1" applyAlignment="1">
      <alignment horizontal="center"/>
    </xf>
    <xf numFmtId="0" fontId="1" fillId="0" borderId="0" xfId="0" applyFont="1" applyAlignment="1">
      <alignment horizontal="center" vertical="center" wrapText="1"/>
    </xf>
    <xf numFmtId="17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1" fillId="11" borderId="0" xfId="0" applyFont="1" applyFill="1" applyAlignment="1">
      <alignment horizontal="center" vertical="center" wrapText="1"/>
    </xf>
    <xf numFmtId="17" fontId="1" fillId="11" borderId="0" xfId="0" applyNumberFormat="1" applyFont="1" applyFill="1" applyAlignment="1">
      <alignment horizontal="center" vertical="center" wrapText="1"/>
    </xf>
    <xf numFmtId="0" fontId="0" fillId="12" borderId="0" xfId="0" applyFill="1" applyAlignment="1">
      <alignment vertical="center" wrapText="1"/>
    </xf>
    <xf numFmtId="0" fontId="9" fillId="2" borderId="0" xfId="0" applyFont="1" applyFill="1" applyAlignment="1">
      <alignment horizontal="center"/>
    </xf>
    <xf numFmtId="0" fontId="1" fillId="1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3.xml"/><Relationship Id="rId4" Type="http://schemas.openxmlformats.org/officeDocument/2006/relationships/pivotCacheDefinition" Target="pivotCache/pivotCacheDefinition2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[raw_summary.xlsx]Raw Summary!PivotTable4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Revenue Share by Customer Type (May–Aug 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'Raw Summary'!$D$31</c:f>
              <c:strCache>
                <c:ptCount val="1"/>
                <c:pt idx="0">
                  <c:v>Total</c:v>
                </c:pt>
              </c:strCache>
            </c:strRef>
          </c:tx>
          <c:explosion val="8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4C4-46E0-8A54-C0C5BB24CC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4C4-46E0-8A54-C0C5BB24CC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4C4-46E0-8A54-C0C5BB24CCB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'Raw Summary'!$C$32:$C$35</c:f>
              <c:strCache>
                <c:ptCount val="3"/>
                <c:pt idx="0">
                  <c:v>Carpenter</c:v>
                </c:pt>
                <c:pt idx="1">
                  <c:v>Not Available</c:v>
                </c:pt>
                <c:pt idx="2">
                  <c:v>Retail</c:v>
                </c:pt>
              </c:strCache>
            </c:strRef>
          </c:cat>
          <c:val>
            <c:numRef>
              <c:f>'Raw Summary'!$D$32:$D$35</c:f>
              <c:numCache>
                <c:formatCode>General</c:formatCode>
                <c:ptCount val="3"/>
                <c:pt idx="0">
                  <c:v>278590</c:v>
                </c:pt>
                <c:pt idx="1">
                  <c:v>39670</c:v>
                </c:pt>
                <c:pt idx="2">
                  <c:v>50892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C4-46E0-8A54-C0C5BB24CCB2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'Raw Summary'!$I$127</c:f>
              <c:strCache>
                <c:ptCount val="1"/>
                <c:pt idx="0">
                  <c:v>Profit Contribution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'Raw Summary'!$B$128:$B$148</c:f>
              <c:strCache>
                <c:ptCount val="21"/>
                <c:pt idx="0">
                  <c:v>SSF (D)</c:v>
                </c:pt>
                <c:pt idx="1">
                  <c:v>Teak Sawn Timber</c:v>
                </c:pt>
                <c:pt idx="2">
                  <c:v>SSF (A)</c:v>
                </c:pt>
                <c:pt idx="3">
                  <c:v>SSF (B)</c:v>
                </c:pt>
                <c:pt idx="4">
                  <c:v>SSF (C)</c:v>
                </c:pt>
                <c:pt idx="5">
                  <c:v>BSF (C)</c:v>
                </c:pt>
                <c:pt idx="6">
                  <c:v>Chair Frame (A)</c:v>
                </c:pt>
                <c:pt idx="7">
                  <c:v>DCF (D)</c:v>
                </c:pt>
                <c:pt idx="8">
                  <c:v>BSF (D)</c:v>
                </c:pt>
                <c:pt idx="9">
                  <c:v>BSF (F)</c:v>
                </c:pt>
                <c:pt idx="10">
                  <c:v>DCF (A)</c:v>
                </c:pt>
                <c:pt idx="11">
                  <c:v>CTF (C)</c:v>
                </c:pt>
                <c:pt idx="12">
                  <c:v>BSF (A)</c:v>
                </c:pt>
                <c:pt idx="13">
                  <c:v>CTSF (A)</c:v>
                </c:pt>
                <c:pt idx="14">
                  <c:v>DCF (C)</c:v>
                </c:pt>
                <c:pt idx="15">
                  <c:v>CTF (B)</c:v>
                </c:pt>
                <c:pt idx="16">
                  <c:v>Chair Frame (B)</c:v>
                </c:pt>
                <c:pt idx="17">
                  <c:v>SSF (E)</c:v>
                </c:pt>
                <c:pt idx="18">
                  <c:v>DCF (B)</c:v>
                </c:pt>
                <c:pt idx="19">
                  <c:v>CTF (A)</c:v>
                </c:pt>
                <c:pt idx="20">
                  <c:v>BSF (B)</c:v>
                </c:pt>
              </c:strCache>
            </c:strRef>
          </c:cat>
          <c:val>
            <c:numRef>
              <c:f>'Raw Summary'!$I$128:$I$148</c:f>
              <c:numCache>
                <c:formatCode>0.000</c:formatCode>
                <c:ptCount val="21"/>
                <c:pt idx="0">
                  <c:v>0.16296983421093317</c:v>
                </c:pt>
                <c:pt idx="1">
                  <c:v>0.14271683081875972</c:v>
                </c:pt>
                <c:pt idx="2">
                  <c:v>0.13368619212615612</c:v>
                </c:pt>
                <c:pt idx="3">
                  <c:v>0.12579234078156404</c:v>
                </c:pt>
                <c:pt idx="4">
                  <c:v>7.3663820151147252E-2</c:v>
                </c:pt>
                <c:pt idx="5">
                  <c:v>7.0207986613192191E-2</c:v>
                </c:pt>
                <c:pt idx="6">
                  <c:v>4.9109213434098166E-2</c:v>
                </c:pt>
                <c:pt idx="7">
                  <c:v>4.227030074846079E-2</c:v>
                </c:pt>
                <c:pt idx="8">
                  <c:v>3.0556843914549967E-2</c:v>
                </c:pt>
                <c:pt idx="9">
                  <c:v>2.4736492692730927E-2</c:v>
                </c:pt>
                <c:pt idx="10">
                  <c:v>2.1826317081821405E-2</c:v>
                </c:pt>
                <c:pt idx="11">
                  <c:v>2.0735001227730337E-2</c:v>
                </c:pt>
                <c:pt idx="12">
                  <c:v>2.0298474886093907E-2</c:v>
                </c:pt>
                <c:pt idx="13">
                  <c:v>1.611509744541147E-2</c:v>
                </c:pt>
                <c:pt idx="14">
                  <c:v>1.5551250920797751E-2</c:v>
                </c:pt>
                <c:pt idx="15">
                  <c:v>1.473276403022945E-2</c:v>
                </c:pt>
                <c:pt idx="16">
                  <c:v>1.3459562200456535E-2</c:v>
                </c:pt>
                <c:pt idx="17">
                  <c:v>9.6035795160014179E-3</c:v>
                </c:pt>
                <c:pt idx="18">
                  <c:v>5.820351221819042E-3</c:v>
                </c:pt>
                <c:pt idx="19">
                  <c:v>3.419456342818687E-3</c:v>
                </c:pt>
                <c:pt idx="20">
                  <c:v>2.7282896352276756E-3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59-4BB5-92F6-5AD4C0C046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7297136"/>
        <c:axId val="2107302896"/>
      </c:barChart>
      <c:lineChart>
        <c:grouping val="standard"/>
        <c:varyColors val="0"/>
        <c:ser>
          <c:idx val="1"/>
          <c:order val="1"/>
          <c:tx>
            <c:strRef>
              <c:f>'Raw Summary'!$J$127</c:f>
              <c:strCache>
                <c:ptCount val="1"/>
                <c:pt idx="0">
                  <c:v>Cumulative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'Raw Summary'!$B$128:$B$148</c:f>
              <c:strCache>
                <c:ptCount val="21"/>
                <c:pt idx="0">
                  <c:v>SSF (D)</c:v>
                </c:pt>
                <c:pt idx="1">
                  <c:v>Teak Sawn Timber</c:v>
                </c:pt>
                <c:pt idx="2">
                  <c:v>SSF (A)</c:v>
                </c:pt>
                <c:pt idx="3">
                  <c:v>SSF (B)</c:v>
                </c:pt>
                <c:pt idx="4">
                  <c:v>SSF (C)</c:v>
                </c:pt>
                <c:pt idx="5">
                  <c:v>BSF (C)</c:v>
                </c:pt>
                <c:pt idx="6">
                  <c:v>Chair Frame (A)</c:v>
                </c:pt>
                <c:pt idx="7">
                  <c:v>DCF (D)</c:v>
                </c:pt>
                <c:pt idx="8">
                  <c:v>BSF (D)</c:v>
                </c:pt>
                <c:pt idx="9">
                  <c:v>BSF (F)</c:v>
                </c:pt>
                <c:pt idx="10">
                  <c:v>DCF (A)</c:v>
                </c:pt>
                <c:pt idx="11">
                  <c:v>CTF (C)</c:v>
                </c:pt>
                <c:pt idx="12">
                  <c:v>BSF (A)</c:v>
                </c:pt>
                <c:pt idx="13">
                  <c:v>CTSF (A)</c:v>
                </c:pt>
                <c:pt idx="14">
                  <c:v>DCF (C)</c:v>
                </c:pt>
                <c:pt idx="15">
                  <c:v>CTF (B)</c:v>
                </c:pt>
                <c:pt idx="16">
                  <c:v>Chair Frame (B)</c:v>
                </c:pt>
                <c:pt idx="17">
                  <c:v>SSF (E)</c:v>
                </c:pt>
                <c:pt idx="18">
                  <c:v>DCF (B)</c:v>
                </c:pt>
                <c:pt idx="19">
                  <c:v>CTF (A)</c:v>
                </c:pt>
                <c:pt idx="20">
                  <c:v>BSF (B)</c:v>
                </c:pt>
              </c:strCache>
            </c:strRef>
          </c:cat>
          <c:val>
            <c:numRef>
              <c:f>'Raw Summary'!$J$128:$J$148</c:f>
              <c:numCache>
                <c:formatCode>0.000</c:formatCode>
                <c:ptCount val="21"/>
                <c:pt idx="0">
                  <c:v>0.16296983421093317</c:v>
                </c:pt>
                <c:pt idx="1">
                  <c:v>0.30568666502969288</c:v>
                </c:pt>
                <c:pt idx="2">
                  <c:v>0.43937285715584901</c:v>
                </c:pt>
                <c:pt idx="3">
                  <c:v>0.56516519793741304</c:v>
                </c:pt>
                <c:pt idx="4">
                  <c:v>0.6388290180885603</c:v>
                </c:pt>
                <c:pt idx="5">
                  <c:v>0.70903700470175246</c:v>
                </c:pt>
                <c:pt idx="6">
                  <c:v>0.75814621813585059</c:v>
                </c:pt>
                <c:pt idx="7">
                  <c:v>0.80041651888431142</c:v>
                </c:pt>
                <c:pt idx="8">
                  <c:v>0.83097336279886136</c:v>
                </c:pt>
                <c:pt idx="9">
                  <c:v>0.85570985549159229</c:v>
                </c:pt>
                <c:pt idx="10">
                  <c:v>0.87753617257341365</c:v>
                </c:pt>
                <c:pt idx="11">
                  <c:v>0.89827117380114396</c:v>
                </c:pt>
                <c:pt idx="12">
                  <c:v>0.91856964868723789</c:v>
                </c:pt>
                <c:pt idx="13">
                  <c:v>0.9346847461326494</c:v>
                </c:pt>
                <c:pt idx="14">
                  <c:v>0.95023599705344719</c:v>
                </c:pt>
                <c:pt idx="15">
                  <c:v>0.96496876108367668</c:v>
                </c:pt>
                <c:pt idx="16">
                  <c:v>0.97842832328413321</c:v>
                </c:pt>
                <c:pt idx="17">
                  <c:v>0.98803190280013464</c:v>
                </c:pt>
                <c:pt idx="18">
                  <c:v>0.99385225402195365</c:v>
                </c:pt>
                <c:pt idx="19">
                  <c:v>0.99727171036477236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59-4BB5-92F6-5AD4C0C046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0077008"/>
        <c:axId val="2100076048"/>
      </c:lineChart>
      <c:catAx>
        <c:axId val="2107297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7302896"/>
        <c:crosses val="autoZero"/>
        <c:auto val="1"/>
        <c:lblAlgn val="ctr"/>
        <c:lblOffset val="100"/>
        <c:noMultiLvlLbl val="0"/>
      </c:catAx>
      <c:valAx>
        <c:axId val="210730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7297136"/>
        <c:crosses val="autoZero"/>
        <c:crossBetween val="between"/>
      </c:valAx>
      <c:valAx>
        <c:axId val="2100076048"/>
        <c:scaling>
          <c:orientation val="minMax"/>
        </c:scaling>
        <c:delete val="0"/>
        <c:axPos val="r"/>
        <c:numFmt formatCode="0.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0077008"/>
        <c:crosses val="max"/>
        <c:crossBetween val="between"/>
      </c:valAx>
      <c:catAx>
        <c:axId val="21000770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000760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ABC Score</a:t>
            </a:r>
            <a:r>
              <a:rPr lang="en-IN" baseline="0"/>
              <a:t> and Cumulative Contribution</a:t>
            </a:r>
            <a:endParaRPr lang="en-IN"/>
          </a:p>
        </c:rich>
      </c:tx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'Raw Summary'!$K$155</c:f>
              <c:strCache>
                <c:ptCount val="1"/>
                <c:pt idx="0">
                  <c:v>ABC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'Raw Summary'!$B$156:$B$176</c:f>
              <c:strCache>
                <c:ptCount val="21"/>
                <c:pt idx="0">
                  <c:v>SSF (A)</c:v>
                </c:pt>
                <c:pt idx="1">
                  <c:v>SSF (D)</c:v>
                </c:pt>
                <c:pt idx="2">
                  <c:v>SSF (B)</c:v>
                </c:pt>
                <c:pt idx="3">
                  <c:v>Teak Sawn Timber</c:v>
                </c:pt>
                <c:pt idx="4">
                  <c:v>DCF (D)</c:v>
                </c:pt>
                <c:pt idx="5">
                  <c:v>CTF (C)</c:v>
                </c:pt>
                <c:pt idx="6">
                  <c:v>SSF (C)</c:v>
                </c:pt>
                <c:pt idx="7">
                  <c:v>Chair Frame (A)</c:v>
                </c:pt>
                <c:pt idx="8">
                  <c:v>BSF (D)</c:v>
                </c:pt>
                <c:pt idx="9">
                  <c:v>BSF (F)</c:v>
                </c:pt>
                <c:pt idx="10">
                  <c:v>DCF (A)</c:v>
                </c:pt>
                <c:pt idx="11">
                  <c:v>CTSF (A)</c:v>
                </c:pt>
                <c:pt idx="12">
                  <c:v>BSF (A)</c:v>
                </c:pt>
                <c:pt idx="13">
                  <c:v>DCF (C)</c:v>
                </c:pt>
                <c:pt idx="14">
                  <c:v>SSF (E)</c:v>
                </c:pt>
                <c:pt idx="15">
                  <c:v>CTF (B)</c:v>
                </c:pt>
                <c:pt idx="16">
                  <c:v>BSF (C)</c:v>
                </c:pt>
                <c:pt idx="17">
                  <c:v>CTF (A)</c:v>
                </c:pt>
                <c:pt idx="18">
                  <c:v>Chair Frame (B)</c:v>
                </c:pt>
                <c:pt idx="19">
                  <c:v>DCF (B)</c:v>
                </c:pt>
                <c:pt idx="20">
                  <c:v>BSF (B)</c:v>
                </c:pt>
              </c:strCache>
            </c:strRef>
          </c:cat>
          <c:val>
            <c:numRef>
              <c:f>'Raw Summary'!$K$156:$K$176</c:f>
              <c:numCache>
                <c:formatCode>General</c:formatCode>
                <c:ptCount val="21"/>
                <c:pt idx="0">
                  <c:v>0.9267684145545888</c:v>
                </c:pt>
                <c:pt idx="1">
                  <c:v>0.87946632119544077</c:v>
                </c:pt>
                <c:pt idx="2">
                  <c:v>0.9051476518920808</c:v>
                </c:pt>
                <c:pt idx="3">
                  <c:v>0.88905325724987772</c:v>
                </c:pt>
                <c:pt idx="4">
                  <c:v>0.69870601589103298</c:v>
                </c:pt>
                <c:pt idx="5">
                  <c:v>0.57656803801461454</c:v>
                </c:pt>
                <c:pt idx="6">
                  <c:v>0.57886239839214682</c:v>
                </c:pt>
                <c:pt idx="7">
                  <c:v>0.5349409148954446</c:v>
                </c:pt>
                <c:pt idx="8">
                  <c:v>0.60495373181141421</c:v>
                </c:pt>
                <c:pt idx="9">
                  <c:v>0.46410820029528865</c:v>
                </c:pt>
                <c:pt idx="10">
                  <c:v>0.4638049985982059</c:v>
                </c:pt>
                <c:pt idx="11">
                  <c:v>0.44603852919235293</c:v>
                </c:pt>
                <c:pt idx="12">
                  <c:v>0.38565013959532513</c:v>
                </c:pt>
                <c:pt idx="13">
                  <c:v>0.44598794093747812</c:v>
                </c:pt>
                <c:pt idx="14">
                  <c:v>0.32338078192873454</c:v>
                </c:pt>
                <c:pt idx="15">
                  <c:v>0.38313046309834209</c:v>
                </c:pt>
                <c:pt idx="16">
                  <c:v>0.51004045633732298</c:v>
                </c:pt>
                <c:pt idx="17">
                  <c:v>0.35529982252358983</c:v>
                </c:pt>
                <c:pt idx="18">
                  <c:v>0.38476609535739537</c:v>
                </c:pt>
                <c:pt idx="19">
                  <c:v>0.30564187421244721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1D-40D7-838F-74A5806A68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380704"/>
        <c:axId val="65383104"/>
      </c:barChart>
      <c:lineChart>
        <c:grouping val="standard"/>
        <c:varyColors val="0"/>
        <c:ser>
          <c:idx val="1"/>
          <c:order val="1"/>
          <c:tx>
            <c:strRef>
              <c:f>'Raw Summary'!$L$155</c:f>
              <c:strCache>
                <c:ptCount val="1"/>
                <c:pt idx="0">
                  <c:v>Cumulative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'Raw Summary'!$B$156:$B$176</c:f>
              <c:strCache>
                <c:ptCount val="21"/>
                <c:pt idx="0">
                  <c:v>SSF (A)</c:v>
                </c:pt>
                <c:pt idx="1">
                  <c:v>SSF (D)</c:v>
                </c:pt>
                <c:pt idx="2">
                  <c:v>SSF (B)</c:v>
                </c:pt>
                <c:pt idx="3">
                  <c:v>Teak Sawn Timber</c:v>
                </c:pt>
                <c:pt idx="4">
                  <c:v>DCF (D)</c:v>
                </c:pt>
                <c:pt idx="5">
                  <c:v>CTF (C)</c:v>
                </c:pt>
                <c:pt idx="6">
                  <c:v>SSF (C)</c:v>
                </c:pt>
                <c:pt idx="7">
                  <c:v>Chair Frame (A)</c:v>
                </c:pt>
                <c:pt idx="8">
                  <c:v>BSF (D)</c:v>
                </c:pt>
                <c:pt idx="9">
                  <c:v>BSF (F)</c:v>
                </c:pt>
                <c:pt idx="10">
                  <c:v>DCF (A)</c:v>
                </c:pt>
                <c:pt idx="11">
                  <c:v>CTSF (A)</c:v>
                </c:pt>
                <c:pt idx="12">
                  <c:v>BSF (A)</c:v>
                </c:pt>
                <c:pt idx="13">
                  <c:v>DCF (C)</c:v>
                </c:pt>
                <c:pt idx="14">
                  <c:v>SSF (E)</c:v>
                </c:pt>
                <c:pt idx="15">
                  <c:v>CTF (B)</c:v>
                </c:pt>
                <c:pt idx="16">
                  <c:v>BSF (C)</c:v>
                </c:pt>
                <c:pt idx="17">
                  <c:v>CTF (A)</c:v>
                </c:pt>
                <c:pt idx="18">
                  <c:v>Chair Frame (B)</c:v>
                </c:pt>
                <c:pt idx="19">
                  <c:v>DCF (B)</c:v>
                </c:pt>
                <c:pt idx="20">
                  <c:v>BSF (B)</c:v>
                </c:pt>
              </c:strCache>
            </c:strRef>
          </c:cat>
          <c:val>
            <c:numRef>
              <c:f>'Raw Summary'!$L$156:$L$176</c:f>
              <c:numCache>
                <c:formatCode>General</c:formatCode>
                <c:ptCount val="21"/>
                <c:pt idx="0">
                  <c:v>8.3777068988365122E-2</c:v>
                </c:pt>
                <c:pt idx="1">
                  <c:v>0.16327817142844431</c:v>
                </c:pt>
                <c:pt idx="2">
                  <c:v>0.24510078869325932</c:v>
                </c:pt>
                <c:pt idx="3">
                  <c:v>0.32546852123273134</c:v>
                </c:pt>
                <c:pt idx="4">
                  <c:v>0.38862943735439415</c:v>
                </c:pt>
                <c:pt idx="5">
                  <c:v>0.44074944871715893</c:v>
                </c:pt>
                <c:pt idx="6">
                  <c:v>0.49307686333689066</c:v>
                </c:pt>
                <c:pt idx="7">
                  <c:v>0.54143390834196192</c:v>
                </c:pt>
                <c:pt idx="8">
                  <c:v>0.59611990079574184</c:v>
                </c:pt>
                <c:pt idx="9">
                  <c:v>0.63807388207475546</c:v>
                </c:pt>
                <c:pt idx="10">
                  <c:v>0.68000045483499028</c:v>
                </c:pt>
                <c:pt idx="11">
                  <c:v>0.72032099235522484</c:v>
                </c:pt>
                <c:pt idx="12">
                  <c:v>0.75518260162335893</c:v>
                </c:pt>
                <c:pt idx="13">
                  <c:v>0.79549856611795722</c:v>
                </c:pt>
                <c:pt idx="14">
                  <c:v>0.82473121329462618</c:v>
                </c:pt>
                <c:pt idx="15">
                  <c:v>0.85936505140828301</c:v>
                </c:pt>
                <c:pt idx="16">
                  <c:v>0.90547117007436351</c:v>
                </c:pt>
                <c:pt idx="17">
                  <c:v>0.93758920223390618</c:v>
                </c:pt>
                <c:pt idx="18">
                  <c:v>0.97237089656973719</c:v>
                </c:pt>
                <c:pt idx="19">
                  <c:v>1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1D-40D7-838F-74A5806A68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526624"/>
        <c:axId val="65382624"/>
      </c:lineChart>
      <c:catAx>
        <c:axId val="653807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Item Code (sorted by ABC Score)</a:t>
                </a:r>
              </a:p>
            </c:rich>
          </c:tx>
          <c:layout>
            <c:manualLayout>
              <c:xMode val="edge"/>
              <c:yMode val="edge"/>
              <c:x val="0.35595105532256449"/>
              <c:y val="0.85365229083887018"/>
            </c:manualLayout>
          </c:layout>
          <c:overlay val="0"/>
          <c:spPr>
            <a:solidFill>
              <a:srgbClr val="FFC000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83104"/>
        <c:crosses val="autoZero"/>
        <c:auto val="1"/>
        <c:lblAlgn val="ctr"/>
        <c:lblOffset val="100"/>
        <c:noMultiLvlLbl val="0"/>
      </c:catAx>
      <c:valAx>
        <c:axId val="6538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Cumulative %</a:t>
                </a:r>
              </a:p>
            </c:rich>
          </c:tx>
          <c:layout>
            <c:manualLayout>
              <c:xMode val="edge"/>
              <c:yMode val="edge"/>
              <c:x val="1.2049263461098747E-2"/>
              <c:y val="0.28441522359476634"/>
            </c:manualLayout>
          </c:layout>
          <c:overlay val="0"/>
          <c:spPr>
            <a:solidFill>
              <a:srgbClr val="FFC000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80704"/>
        <c:crosses val="autoZero"/>
        <c:crossBetween val="between"/>
      </c:valAx>
      <c:valAx>
        <c:axId val="653826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26624"/>
        <c:crosses val="max"/>
        <c:crossBetween val="between"/>
      </c:valAx>
      <c:catAx>
        <c:axId val="695266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53826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 sz="1800" b="1" i="0" u="none" strike="noStrike" baseline="0">
                <a:effectLst/>
              </a:rPr>
              <a:t>Demand Stability Distribution </a:t>
            </a:r>
            <a:endParaRPr lang="en-IN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'Raw Summary'!$N$184:$N$191</c:f>
              <c:strCache>
                <c:ptCount val="8"/>
                <c:pt idx="0">
                  <c:v>0.25</c:v>
                </c:pt>
                <c:pt idx="1">
                  <c:v>0.5</c:v>
                </c:pt>
                <c:pt idx="2">
                  <c:v>1</c:v>
                </c:pt>
                <c:pt idx="3">
                  <c:v>2</c:v>
                </c:pt>
                <c:pt idx="4">
                  <c:v>3.5</c:v>
                </c:pt>
                <c:pt idx="5">
                  <c:v>10</c:v>
                </c:pt>
                <c:pt idx="6">
                  <c:v>60</c:v>
                </c:pt>
                <c:pt idx="7">
                  <c:v>More</c:v>
                </c:pt>
              </c:strCache>
            </c:strRef>
          </c:cat>
          <c:val>
            <c:numRef>
              <c:f>'Raw Summary'!$O$184:$O$191</c:f>
              <c:numCache>
                <c:formatCode>General</c:formatCode>
                <c:ptCount val="8"/>
                <c:pt idx="0">
                  <c:v>4</c:v>
                </c:pt>
                <c:pt idx="1">
                  <c:v>4</c:v>
                </c:pt>
                <c:pt idx="2">
                  <c:v>2</c:v>
                </c:pt>
                <c:pt idx="3">
                  <c:v>5</c:v>
                </c:pt>
                <c:pt idx="4">
                  <c:v>4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81-4139-BF11-7160314C8C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7636831"/>
        <c:axId val="2087632991"/>
      </c:barChart>
      <c:catAx>
        <c:axId val="20876368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 sz="1000" b="1" i="0" u="none" strike="noStrike" baseline="0"/>
                  <a:t>DSI</a:t>
                </a:r>
                <a:endParaRPr lang="en-IN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87632991"/>
        <c:crosses val="autoZero"/>
        <c:auto val="1"/>
        <c:lblAlgn val="ctr"/>
        <c:lblOffset val="100"/>
        <c:noMultiLvlLbl val="0"/>
      </c:catAx>
      <c:valAx>
        <c:axId val="208763299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 sz="1000" b="1" i="0" u="none" strike="noStrike" baseline="0"/>
                  <a:t>Number of SKUs</a:t>
                </a:r>
                <a:endParaRPr lang="en-IN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8763683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402851</xdr:colOff>
      <xdr:row>27</xdr:row>
      <xdr:rowOff>1</xdr:rowOff>
    </xdr:from>
    <xdr:to>
      <xdr:col>9</xdr:col>
      <xdr:colOff>609599</xdr:colOff>
      <xdr:row>42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665841-DAC2-4FDD-8A38-FE65CCE4A0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374835</xdr:colOff>
      <xdr:row>74</xdr:row>
      <xdr:rowOff>75080</xdr:rowOff>
    </xdr:from>
    <xdr:to>
      <xdr:col>16</xdr:col>
      <xdr:colOff>820268</xdr:colOff>
      <xdr:row>94</xdr:row>
      <xdr:rowOff>111269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C716D4A-73F7-4171-9B8B-79F16419BE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82415" y="14865500"/>
          <a:ext cx="7295813" cy="3693789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99</xdr:row>
      <xdr:rowOff>0</xdr:rowOff>
    </xdr:from>
    <xdr:to>
      <xdr:col>13</xdr:col>
      <xdr:colOff>186505</xdr:colOff>
      <xdr:row>118</xdr:row>
      <xdr:rowOff>30400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2B566EF-FC95-4C26-B215-463C94839C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1120" y="19446240"/>
          <a:ext cx="6739705" cy="3505120"/>
        </a:xfrm>
        <a:prstGeom prst="rect">
          <a:avLst/>
        </a:prstGeom>
      </xdr:spPr>
    </xdr:pic>
    <xdr:clientData/>
  </xdr:twoCellAnchor>
  <xdr:twoCellAnchor editAs="oneCell">
    <xdr:from>
      <xdr:col>8</xdr:col>
      <xdr:colOff>451597</xdr:colOff>
      <xdr:row>49</xdr:row>
      <xdr:rowOff>50987</xdr:rowOff>
    </xdr:from>
    <xdr:to>
      <xdr:col>16</xdr:col>
      <xdr:colOff>887505</xdr:colOff>
      <xdr:row>70</xdr:row>
      <xdr:rowOff>7653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2EDF478-7064-43BF-9239-0E51E56584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759177" y="10269407"/>
          <a:ext cx="7286288" cy="3797146"/>
        </a:xfrm>
        <a:prstGeom prst="rect">
          <a:avLst/>
        </a:prstGeom>
      </xdr:spPr>
    </xdr:pic>
    <xdr:clientData/>
  </xdr:twoCellAnchor>
  <xdr:twoCellAnchor>
    <xdr:from>
      <xdr:col>12</xdr:col>
      <xdr:colOff>10885</xdr:colOff>
      <xdr:row>127</xdr:row>
      <xdr:rowOff>10886</xdr:rowOff>
    </xdr:from>
    <xdr:to>
      <xdr:col>21</xdr:col>
      <xdr:colOff>21772</xdr:colOff>
      <xdr:row>145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CC89EF2-4C03-49DD-9EAF-DB350D22A4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365873</xdr:colOff>
      <xdr:row>154</xdr:row>
      <xdr:rowOff>106615</xdr:rowOff>
    </xdr:from>
    <xdr:to>
      <xdr:col>23</xdr:col>
      <xdr:colOff>99972</xdr:colOff>
      <xdr:row>175</xdr:row>
      <xdr:rowOff>95409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0FD817A-5A9D-41A1-B832-32C6A8AF06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8</xdr:col>
      <xdr:colOff>236764</xdr:colOff>
      <xdr:row>206</xdr:row>
      <xdr:rowOff>38100</xdr:rowOff>
    </xdr:from>
    <xdr:to>
      <xdr:col>17</xdr:col>
      <xdr:colOff>1271309</xdr:colOff>
      <xdr:row>216</xdr:row>
      <xdr:rowOff>11702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64F3F71-9660-4C5E-B271-D5CB4FFF4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4344" y="41605200"/>
          <a:ext cx="8806945" cy="52662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315686</xdr:colOff>
      <xdr:row>6</xdr:row>
      <xdr:rowOff>366848</xdr:rowOff>
    </xdr:from>
    <xdr:to>
      <xdr:col>19</xdr:col>
      <xdr:colOff>381000</xdr:colOff>
      <xdr:row>19</xdr:row>
      <xdr:rowOff>163285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2DDCA3F-7CB4-4F83-BBAF-0106CD4E9D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bdul%20Hadi\Desktop\PRO\bdm\sale_purchase_april_june%20(version%201).xlsb.xlsx" TargetMode="External"/><Relationship Id="rId1" Type="http://schemas.openxmlformats.org/officeDocument/2006/relationships/externalLinkPath" Target="sale_purchase_april_june%20(version%201).xls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urchase"/>
      <sheetName val="Raw Sale"/>
      <sheetName val="Retail Sale"/>
      <sheetName val="Raw Summary"/>
      <sheetName val="Retail Summary"/>
    </sheetNames>
    <sheetDataSet>
      <sheetData sheetId="0">
        <row r="1">
          <cell r="A1" t="str">
            <v>Date</v>
          </cell>
        </row>
        <row r="2">
          <cell r="A2">
            <v>45751</v>
          </cell>
          <cell r="F2">
            <v>4960</v>
          </cell>
        </row>
        <row r="3">
          <cell r="A3">
            <v>45751</v>
          </cell>
          <cell r="F3">
            <v>7812</v>
          </cell>
        </row>
        <row r="4">
          <cell r="A4">
            <v>45751</v>
          </cell>
          <cell r="F4">
            <v>10924</v>
          </cell>
        </row>
        <row r="5">
          <cell r="A5">
            <v>45764</v>
          </cell>
          <cell r="F5">
            <v>4450</v>
          </cell>
        </row>
        <row r="6">
          <cell r="A6">
            <v>45764</v>
          </cell>
          <cell r="F6">
            <v>7812</v>
          </cell>
        </row>
        <row r="7">
          <cell r="A7">
            <v>45764</v>
          </cell>
          <cell r="F7">
            <v>3785</v>
          </cell>
        </row>
        <row r="8">
          <cell r="A8">
            <v>45777</v>
          </cell>
          <cell r="F8">
            <v>21525</v>
          </cell>
        </row>
        <row r="9">
          <cell r="A9">
            <v>45777</v>
          </cell>
          <cell r="F9">
            <v>2271</v>
          </cell>
        </row>
        <row r="10">
          <cell r="A10">
            <v>45777</v>
          </cell>
          <cell r="F10">
            <v>26355</v>
          </cell>
        </row>
        <row r="11">
          <cell r="A11">
            <v>45786</v>
          </cell>
          <cell r="F11">
            <v>5462</v>
          </cell>
        </row>
        <row r="12">
          <cell r="A12">
            <v>45786</v>
          </cell>
          <cell r="F12">
            <v>21650</v>
          </cell>
        </row>
        <row r="13">
          <cell r="A13">
            <v>45786</v>
          </cell>
          <cell r="F13">
            <v>2109</v>
          </cell>
        </row>
        <row r="14">
          <cell r="A14">
            <v>45786</v>
          </cell>
          <cell r="F14">
            <v>2550</v>
          </cell>
        </row>
        <row r="15">
          <cell r="A15">
            <v>45794</v>
          </cell>
          <cell r="F15">
            <v>6056</v>
          </cell>
        </row>
        <row r="16">
          <cell r="A16">
            <v>45794</v>
          </cell>
          <cell r="F16">
            <v>16386</v>
          </cell>
        </row>
        <row r="17">
          <cell r="A17">
            <v>45794</v>
          </cell>
          <cell r="F17">
            <v>2550</v>
          </cell>
        </row>
        <row r="18">
          <cell r="A18">
            <v>45804</v>
          </cell>
          <cell r="F18">
            <v>2812</v>
          </cell>
        </row>
        <row r="19">
          <cell r="A19">
            <v>45804</v>
          </cell>
          <cell r="F19">
            <v>8160</v>
          </cell>
        </row>
        <row r="20">
          <cell r="A20">
            <v>45804</v>
          </cell>
          <cell r="F20">
            <v>21650</v>
          </cell>
        </row>
        <row r="21">
          <cell r="A21">
            <v>45804</v>
          </cell>
          <cell r="F21">
            <v>9600</v>
          </cell>
        </row>
        <row r="22">
          <cell r="A22">
            <v>45818</v>
          </cell>
          <cell r="F22">
            <v>8193</v>
          </cell>
        </row>
        <row r="23">
          <cell r="A23">
            <v>45818</v>
          </cell>
          <cell r="F23">
            <v>5640</v>
          </cell>
        </row>
        <row r="24">
          <cell r="A24">
            <v>45818</v>
          </cell>
          <cell r="F24">
            <v>3240</v>
          </cell>
        </row>
        <row r="25">
          <cell r="A25">
            <v>45818</v>
          </cell>
          <cell r="F25">
            <v>1780</v>
          </cell>
        </row>
        <row r="26">
          <cell r="A26">
            <v>45836</v>
          </cell>
          <cell r="F26">
            <v>9600</v>
          </cell>
        </row>
        <row r="27">
          <cell r="A27">
            <v>45836</v>
          </cell>
          <cell r="F27">
            <v>14920</v>
          </cell>
        </row>
        <row r="28">
          <cell r="A28">
            <v>45836</v>
          </cell>
          <cell r="F28">
            <v>3240</v>
          </cell>
        </row>
        <row r="29">
          <cell r="A29" t="str">
            <v>31-06-2025</v>
          </cell>
          <cell r="F29">
            <v>14240</v>
          </cell>
        </row>
        <row r="30">
          <cell r="A30" t="str">
            <v>31-06-2025</v>
          </cell>
          <cell r="F30">
            <v>12990</v>
          </cell>
        </row>
        <row r="31">
          <cell r="A31" t="str">
            <v>31-06-2025</v>
          </cell>
          <cell r="F31">
            <v>2640</v>
          </cell>
        </row>
        <row r="32">
          <cell r="A32" t="str">
            <v>31-06-2025</v>
          </cell>
          <cell r="F32">
            <v>13600</v>
          </cell>
        </row>
        <row r="33">
          <cell r="A33">
            <v>45869</v>
          </cell>
          <cell r="F33">
            <v>4960</v>
          </cell>
        </row>
        <row r="34">
          <cell r="A34">
            <v>45865</v>
          </cell>
          <cell r="F34">
            <v>3480</v>
          </cell>
        </row>
        <row r="35">
          <cell r="A35">
            <v>45865</v>
          </cell>
          <cell r="F35">
            <v>17800</v>
          </cell>
        </row>
        <row r="36">
          <cell r="A36">
            <v>45865</v>
          </cell>
          <cell r="F36">
            <v>4400</v>
          </cell>
        </row>
        <row r="37">
          <cell r="A37">
            <v>45865</v>
          </cell>
          <cell r="F37">
            <v>6150</v>
          </cell>
        </row>
        <row r="38">
          <cell r="A38">
            <v>45865</v>
          </cell>
          <cell r="F38">
            <v>13177.5</v>
          </cell>
        </row>
      </sheetData>
      <sheetData sheetId="1"/>
      <sheetData sheetId="2"/>
      <sheetData sheetId="3">
        <row r="127">
          <cell r="I127" t="str">
            <v>Profit Contribution</v>
          </cell>
          <cell r="J127" t="str">
            <v>Cumulative %</v>
          </cell>
        </row>
        <row r="128">
          <cell r="B128" t="str">
            <v>SSF (D)</v>
          </cell>
          <cell r="I128">
            <v>0.16296983421093317</v>
          </cell>
          <cell r="J128">
            <v>0.16296983421093317</v>
          </cell>
        </row>
        <row r="129">
          <cell r="B129" t="str">
            <v>Teak Sawn Timber</v>
          </cell>
          <cell r="I129">
            <v>0.14271683081875972</v>
          </cell>
          <cell r="J129">
            <v>0.30568666502969288</v>
          </cell>
        </row>
        <row r="130">
          <cell r="B130" t="str">
            <v>SSF (A)</v>
          </cell>
          <cell r="I130">
            <v>0.13368619212615612</v>
          </cell>
          <cell r="J130">
            <v>0.43937285715584901</v>
          </cell>
        </row>
        <row r="131">
          <cell r="B131" t="str">
            <v>SSF (B)</v>
          </cell>
          <cell r="I131">
            <v>0.12579234078156404</v>
          </cell>
          <cell r="J131">
            <v>0.56516519793741304</v>
          </cell>
        </row>
        <row r="132">
          <cell r="B132" t="str">
            <v>SSF (C)</v>
          </cell>
          <cell r="I132">
            <v>7.3663820151147252E-2</v>
          </cell>
          <cell r="J132">
            <v>0.6388290180885603</v>
          </cell>
        </row>
        <row r="133">
          <cell r="B133" t="str">
            <v>BSF (C)</v>
          </cell>
          <cell r="I133">
            <v>7.0207986613192191E-2</v>
          </cell>
          <cell r="J133">
            <v>0.70903700470175246</v>
          </cell>
        </row>
        <row r="134">
          <cell r="B134" t="str">
            <v>Chair Frame (A)</v>
          </cell>
          <cell r="I134">
            <v>4.9109213434098166E-2</v>
          </cell>
          <cell r="J134">
            <v>0.75814621813585059</v>
          </cell>
        </row>
        <row r="135">
          <cell r="B135" t="str">
            <v>DCF (D)</v>
          </cell>
          <cell r="I135">
            <v>4.227030074846079E-2</v>
          </cell>
          <cell r="J135">
            <v>0.80041651888431142</v>
          </cell>
        </row>
        <row r="136">
          <cell r="B136" t="str">
            <v>BSF (D)</v>
          </cell>
          <cell r="I136">
            <v>3.0556843914549967E-2</v>
          </cell>
          <cell r="J136">
            <v>0.83097336279886136</v>
          </cell>
        </row>
        <row r="137">
          <cell r="B137" t="str">
            <v>BSF (F)</v>
          </cell>
          <cell r="I137">
            <v>2.4736492692730927E-2</v>
          </cell>
          <cell r="J137">
            <v>0.85570985549159229</v>
          </cell>
        </row>
        <row r="138">
          <cell r="B138" t="str">
            <v>DCF (A)</v>
          </cell>
          <cell r="I138">
            <v>2.1826317081821405E-2</v>
          </cell>
          <cell r="J138">
            <v>0.87753617257341365</v>
          </cell>
        </row>
        <row r="139">
          <cell r="B139" t="str">
            <v>CTF (C)</v>
          </cell>
          <cell r="I139">
            <v>2.0735001227730337E-2</v>
          </cell>
          <cell r="J139">
            <v>0.89827117380114396</v>
          </cell>
        </row>
        <row r="140">
          <cell r="B140" t="str">
            <v>BSF (A)</v>
          </cell>
          <cell r="I140">
            <v>2.0298474886093907E-2</v>
          </cell>
          <cell r="J140">
            <v>0.91856964868723789</v>
          </cell>
        </row>
        <row r="141">
          <cell r="B141" t="str">
            <v>CTSF (A)</v>
          </cell>
          <cell r="I141">
            <v>1.611509744541147E-2</v>
          </cell>
          <cell r="J141">
            <v>0.9346847461326494</v>
          </cell>
        </row>
        <row r="142">
          <cell r="B142" t="str">
            <v>DCF (C)</v>
          </cell>
          <cell r="I142">
            <v>1.5551250920797751E-2</v>
          </cell>
          <cell r="J142">
            <v>0.95023599705344719</v>
          </cell>
        </row>
        <row r="143">
          <cell r="B143" t="str">
            <v>CTF (B)</v>
          </cell>
          <cell r="I143">
            <v>1.473276403022945E-2</v>
          </cell>
          <cell r="J143">
            <v>0.96496876108367668</v>
          </cell>
        </row>
        <row r="144">
          <cell r="B144" t="str">
            <v>Chair Frame (B)</v>
          </cell>
          <cell r="I144">
            <v>1.3459562200456535E-2</v>
          </cell>
          <cell r="J144">
            <v>0.97842832328413321</v>
          </cell>
        </row>
        <row r="145">
          <cell r="B145" t="str">
            <v>SSF (E)</v>
          </cell>
          <cell r="I145">
            <v>9.6035795160014179E-3</v>
          </cell>
          <cell r="J145">
            <v>0.98803190280013464</v>
          </cell>
        </row>
        <row r="146">
          <cell r="B146" t="str">
            <v>DCF (B)</v>
          </cell>
          <cell r="I146">
            <v>5.820351221819042E-3</v>
          </cell>
          <cell r="J146">
            <v>0.99385225402195365</v>
          </cell>
        </row>
        <row r="147">
          <cell r="B147" t="str">
            <v>CTF (A)</v>
          </cell>
          <cell r="I147">
            <v>3.419456342818687E-3</v>
          </cell>
          <cell r="J147">
            <v>0.99727171036477236</v>
          </cell>
        </row>
        <row r="148">
          <cell r="B148" t="str">
            <v>BSF (B)</v>
          </cell>
          <cell r="I148">
            <v>2.7282896352276756E-3</v>
          </cell>
          <cell r="J148">
            <v>1</v>
          </cell>
        </row>
        <row r="155">
          <cell r="K155" t="str">
            <v>ABC Score</v>
          </cell>
          <cell r="L155" t="str">
            <v>Cumulative %</v>
          </cell>
        </row>
        <row r="156">
          <cell r="B156" t="str">
            <v>SSF (A)</v>
          </cell>
          <cell r="K156">
            <v>0.9267684145545888</v>
          </cell>
          <cell r="L156">
            <v>8.3777068988365122E-2</v>
          </cell>
        </row>
        <row r="157">
          <cell r="B157" t="str">
            <v>SSF (D)</v>
          </cell>
          <cell r="K157">
            <v>0.87946632119544077</v>
          </cell>
          <cell r="L157">
            <v>0.16327817142844431</v>
          </cell>
        </row>
        <row r="158">
          <cell r="B158" t="str">
            <v>SSF (B)</v>
          </cell>
          <cell r="K158">
            <v>0.9051476518920808</v>
          </cell>
          <cell r="L158">
            <v>0.24510078869325932</v>
          </cell>
        </row>
        <row r="159">
          <cell r="B159" t="str">
            <v>Teak Sawn Timber</v>
          </cell>
          <cell r="K159">
            <v>0.88905325724987772</v>
          </cell>
          <cell r="L159">
            <v>0.32546852123273134</v>
          </cell>
        </row>
        <row r="160">
          <cell r="B160" t="str">
            <v>DCF (D)</v>
          </cell>
          <cell r="K160">
            <v>0.69870601589103298</v>
          </cell>
          <cell r="L160">
            <v>0.38862943735439415</v>
          </cell>
        </row>
        <row r="161">
          <cell r="B161" t="str">
            <v>CTF (C)</v>
          </cell>
          <cell r="K161">
            <v>0.57656803801461454</v>
          </cell>
          <cell r="L161">
            <v>0.44074944871715893</v>
          </cell>
        </row>
        <row r="162">
          <cell r="B162" t="str">
            <v>SSF (C)</v>
          </cell>
          <cell r="K162">
            <v>0.57886239839214682</v>
          </cell>
          <cell r="L162">
            <v>0.49307686333689066</v>
          </cell>
        </row>
        <row r="163">
          <cell r="B163" t="str">
            <v>Chair Frame (A)</v>
          </cell>
          <cell r="K163">
            <v>0.5349409148954446</v>
          </cell>
          <cell r="L163">
            <v>0.54143390834196192</v>
          </cell>
        </row>
        <row r="164">
          <cell r="B164" t="str">
            <v>BSF (D)</v>
          </cell>
          <cell r="K164">
            <v>0.60495373181141421</v>
          </cell>
          <cell r="L164">
            <v>0.59611990079574184</v>
          </cell>
        </row>
        <row r="165">
          <cell r="B165" t="str">
            <v>BSF (F)</v>
          </cell>
          <cell r="K165">
            <v>0.46410820029528865</v>
          </cell>
          <cell r="L165">
            <v>0.63807388207475546</v>
          </cell>
        </row>
        <row r="166">
          <cell r="B166" t="str">
            <v>DCF (A)</v>
          </cell>
          <cell r="K166">
            <v>0.4638049985982059</v>
          </cell>
          <cell r="L166">
            <v>0.68000045483499028</v>
          </cell>
        </row>
        <row r="167">
          <cell r="B167" t="str">
            <v>CTSF (A)</v>
          </cell>
          <cell r="K167">
            <v>0.44603852919235293</v>
          </cell>
          <cell r="L167">
            <v>0.72032099235522484</v>
          </cell>
        </row>
        <row r="168">
          <cell r="B168" t="str">
            <v>BSF (A)</v>
          </cell>
          <cell r="K168">
            <v>0.38565013959532513</v>
          </cell>
          <cell r="L168">
            <v>0.75518260162335893</v>
          </cell>
        </row>
        <row r="169">
          <cell r="B169" t="str">
            <v>DCF (C)</v>
          </cell>
          <cell r="K169">
            <v>0.44598794093747812</v>
          </cell>
          <cell r="L169">
            <v>0.79549856611795722</v>
          </cell>
        </row>
        <row r="170">
          <cell r="B170" t="str">
            <v>SSF (E)</v>
          </cell>
          <cell r="K170">
            <v>0.32338078192873454</v>
          </cell>
          <cell r="L170">
            <v>0.82473121329462618</v>
          </cell>
        </row>
        <row r="171">
          <cell r="B171" t="str">
            <v>CTF (B)</v>
          </cell>
          <cell r="K171">
            <v>0.38313046309834209</v>
          </cell>
          <cell r="L171">
            <v>0.85936505140828301</v>
          </cell>
        </row>
        <row r="172">
          <cell r="B172" t="str">
            <v>BSF (C)</v>
          </cell>
          <cell r="K172">
            <v>0.51004045633732298</v>
          </cell>
          <cell r="L172">
            <v>0.90547117007436351</v>
          </cell>
        </row>
        <row r="173">
          <cell r="B173" t="str">
            <v>CTF (A)</v>
          </cell>
          <cell r="K173">
            <v>0.35529982252358983</v>
          </cell>
          <cell r="L173">
            <v>0.93758920223390618</v>
          </cell>
        </row>
        <row r="174">
          <cell r="B174" t="str">
            <v>Chair Frame (B)</v>
          </cell>
          <cell r="K174">
            <v>0.38476609535739537</v>
          </cell>
          <cell r="L174">
            <v>0.97237089656973719</v>
          </cell>
        </row>
        <row r="175">
          <cell r="B175" t="str">
            <v>DCF (B)</v>
          </cell>
          <cell r="K175">
            <v>0.30564187421244721</v>
          </cell>
          <cell r="L175">
            <v>1</v>
          </cell>
        </row>
        <row r="176">
          <cell r="B176" t="str">
            <v>BSF (B)</v>
          </cell>
          <cell r="K176">
            <v>0</v>
          </cell>
          <cell r="L176">
            <v>1</v>
          </cell>
        </row>
        <row r="184">
          <cell r="N184">
            <v>0.25</v>
          </cell>
          <cell r="O184">
            <v>4</v>
          </cell>
        </row>
        <row r="185">
          <cell r="N185">
            <v>0.5</v>
          </cell>
          <cell r="O185">
            <v>4</v>
          </cell>
        </row>
        <row r="186">
          <cell r="N186">
            <v>1</v>
          </cell>
          <cell r="O186">
            <v>2</v>
          </cell>
        </row>
        <row r="187">
          <cell r="N187">
            <v>2</v>
          </cell>
          <cell r="O187">
            <v>5</v>
          </cell>
        </row>
        <row r="188">
          <cell r="N188">
            <v>3.5</v>
          </cell>
          <cell r="O188">
            <v>4</v>
          </cell>
        </row>
        <row r="189">
          <cell r="N189">
            <v>10</v>
          </cell>
          <cell r="O189">
            <v>1</v>
          </cell>
        </row>
        <row r="190">
          <cell r="N190">
            <v>60</v>
          </cell>
          <cell r="O190">
            <v>1</v>
          </cell>
        </row>
        <row r="191">
          <cell r="N191" t="str">
            <v>More</v>
          </cell>
          <cell r="O191">
            <v>0</v>
          </cell>
        </row>
      </sheetData>
      <sheetData sheetId="4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sale_purchase_april_june%20(version%201).xlsb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sale_purchase_april_june%20(version%201).xlsb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sale_purchase_april_june%20(version%201).xlsb.xlsx" TargetMode="External"/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bdul hadi micro" refreshedDate="46034.510858564812" createdVersion="8" refreshedVersion="8" minRefreshableVersion="3" recordCount="69" xr:uid="{9DFAFADD-9F50-4F0A-891B-FD7057EAF8B1}">
  <cacheSource type="worksheet">
    <worksheetSource ref="A1:J70" sheet="Raw Sale" r:id="rId2"/>
  </cacheSource>
  <cacheFields count="10">
    <cacheField name="Date" numFmtId="14">
      <sharedItems containsSemiMixedTypes="0" containsNonDate="0" containsDate="1" containsString="0" minDate="2025-04-02T00:00:00" maxDate="2025-07-30T00:00:00"/>
    </cacheField>
    <cacheField name="Item Code" numFmtId="0">
      <sharedItems count="21">
        <s v="CTSF (A)"/>
        <s v="DCF (B)"/>
        <s v="BSF (B)"/>
        <s v="BSF (A)"/>
        <s v="SSF (C)"/>
        <s v="DCF (A)"/>
        <s v="DCF (C)"/>
        <s v="SSF (D)"/>
        <s v="SSF (E)"/>
        <s v="DCF (D)"/>
        <s v="CTF (C)"/>
        <s v="SSF (B)"/>
        <s v="BSF (D)"/>
        <s v="CTF (A)"/>
        <s v="Teak Sawn Timber"/>
        <s v="Chair Frame (B)"/>
        <s v="SSF (A)"/>
        <s v="Chair Frame (A)"/>
        <s v="BSF (F)"/>
        <s v="CTF (B)"/>
        <s v="BSF (C)"/>
      </sharedItems>
    </cacheField>
    <cacheField name="Item Description" numFmtId="0">
      <sharedItems/>
    </cacheField>
    <cacheField name="Qty" numFmtId="0">
      <sharedItems containsSemiMixedTypes="0" containsString="0" containsNumber="1" minValue="1" maxValue="12.55"/>
    </cacheField>
    <cacheField name="Rate" numFmtId="0">
      <sharedItems containsSemiMixedTypes="0" containsString="0" containsNumber="1" containsInteger="1" minValue="623" maxValue="5450"/>
    </cacheField>
    <cacheField name="Total Sales" numFmtId="0">
      <sharedItems containsSemiMixedTypes="0" containsString="0" containsNumber="1" containsInteger="1" minValue="750" maxValue="18000"/>
    </cacheField>
    <cacheField name="Coustomer Type" numFmtId="0">
      <sharedItems/>
    </cacheField>
    <cacheField name="Profit Per Product" numFmtId="0">
      <sharedItems containsSemiMixedTypes="0" containsString="0" containsNumber="1" containsInteger="1" minValue="47" maxValue="1120"/>
    </cacheField>
    <cacheField name="Total Profit" numFmtId="0">
      <sharedItems containsSemiMixedTypes="0" containsString="0" containsNumber="1" minValue="47" maxValue="3360"/>
    </cacheField>
    <cacheField name="Month" numFmtId="165">
      <sharedItems count="4">
        <s v="Apr-2025"/>
        <s v="May-2025"/>
        <s v="Jun-2025"/>
        <s v="Jul-202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hadi micro" refreshedDate="45998.97062847222" createdVersion="8" refreshedVersion="8" minRefreshableVersion="3" recordCount="37" xr:uid="{466B23A1-54DA-428E-B13F-478E07D91A0E}">
  <cacheSource type="worksheet">
    <worksheetSource ref="A1:F38" sheet="Purchase" r:id="rId2"/>
  </cacheSource>
  <cacheFields count="6">
    <cacheField name="Date" numFmtId="14">
      <sharedItems containsDate="1" containsMixedTypes="1" minDate="2025-04-04T00:00:00" maxDate="2025-08-01T00:00:00" count="11">
        <d v="2025-04-04T00:00:00"/>
        <d v="2025-04-17T00:00:00"/>
        <d v="2025-04-30T00:00:00"/>
        <d v="2025-05-09T00:00:00"/>
        <d v="2025-05-17T00:00:00"/>
        <d v="2025-05-27T00:00:00"/>
        <d v="2025-06-10T00:00:00"/>
        <d v="2025-06-28T00:00:00"/>
        <s v="31-06-2025"/>
        <d v="2025-07-31T00:00:00"/>
        <d v="2025-07-27T00:00:00"/>
      </sharedItems>
    </cacheField>
    <cacheField name="Item Code" numFmtId="0">
      <sharedItems containsBlank="1" count="22">
        <s v="BSF (A)"/>
        <s v="Chair Frame (B)"/>
        <s v="SSF (B)"/>
        <s v="CTSF (A)"/>
        <s v="Chair Frame (A)"/>
        <s v="CTF (C)"/>
        <s v="SSF (A)"/>
        <s v="Teak Sawn Timber"/>
        <s v="SSF (D)"/>
        <s v="CTF (A)"/>
        <s v="BSF (B)"/>
        <s v="BSF (F)"/>
        <s v="BSF (D)"/>
        <s v="DCF (D)"/>
        <s v="SSF (C)"/>
        <s v="BSF (C)"/>
        <s v="CTF (B)"/>
        <s v="DCF (B)"/>
        <m u="1"/>
        <s v="DCF (C)" u="1"/>
        <s v="SSF (E)" u="1"/>
        <s v="Dining Chair Frame (A)" u="1"/>
      </sharedItems>
    </cacheField>
    <cacheField name="Item Description" numFmtId="0">
      <sharedItems/>
    </cacheField>
    <cacheField name="Qty" numFmtId="0">
      <sharedItems containsSemiMixedTypes="0" containsString="0" containsNumber="1" minValue="2" maxValue="25.1"/>
    </cacheField>
    <cacheField name="Rate" numFmtId="0">
      <sharedItems containsSemiMixedTypes="0" containsString="0" containsNumber="1" containsInteger="1" minValue="540" maxValue="4330"/>
    </cacheField>
    <cacheField name="Total Amount" numFmtId="0">
      <sharedItems containsSemiMixedTypes="0" containsString="0" containsNumber="1" minValue="1780" maxValue="2635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bdul hadi micro" refreshedDate="46034.510858912035" createdVersion="8" refreshedVersion="8" minRefreshableVersion="3" recordCount="69" xr:uid="{8BFAE536-620F-43C0-BFE5-155863A43927}">
  <cacheSource type="worksheet">
    <worksheetSource name="Sale" r:id="rId2"/>
  </cacheSource>
  <cacheFields count="10">
    <cacheField name="Date" numFmtId="14">
      <sharedItems containsSemiMixedTypes="0" containsNonDate="0" containsDate="1" containsString="0" minDate="2025-04-02T00:00:00" maxDate="2025-07-30T00:00:00" count="42">
        <d v="2025-04-02T00:00:00"/>
        <d v="2025-04-03T00:00:00"/>
        <d v="2025-04-05T00:00:00"/>
        <d v="2025-04-08T00:00:00"/>
        <d v="2025-04-10T00:00:00"/>
        <d v="2025-04-18T00:00:00"/>
        <d v="2025-04-20T00:00:00"/>
        <d v="2025-04-23T00:00:00"/>
        <d v="2025-04-25T00:00:00"/>
        <d v="2025-04-30T00:00:00"/>
        <d v="2025-05-05T00:00:00"/>
        <d v="2025-05-09T00:00:00"/>
        <d v="2025-05-12T00:00:00"/>
        <d v="2025-05-13T00:00:00"/>
        <d v="2025-05-18T00:00:00"/>
        <d v="2025-05-23T00:00:00"/>
        <d v="2025-05-25T00:00:00"/>
        <d v="2025-05-26T00:00:00"/>
        <d v="2025-05-27T00:00:00"/>
        <d v="2025-05-30T00:00:00"/>
        <d v="2025-06-04T00:00:00"/>
        <d v="2025-06-08T00:00:00"/>
        <d v="2025-06-09T00:00:00"/>
        <d v="2025-06-10T00:00:00"/>
        <d v="2025-06-11T00:00:00"/>
        <d v="2025-06-12T00:00:00"/>
        <d v="2025-06-15T00:00:00"/>
        <d v="2025-06-16T00:00:00"/>
        <d v="2025-06-20T00:00:00"/>
        <d v="2025-06-27T00:00:00"/>
        <d v="2025-06-30T00:00:00"/>
        <d v="2025-07-03T00:00:00"/>
        <d v="2025-07-05T00:00:00"/>
        <d v="2025-07-07T00:00:00"/>
        <d v="2025-07-08T00:00:00"/>
        <d v="2025-07-09T00:00:00"/>
        <d v="2025-07-11T00:00:00"/>
        <d v="2025-07-12T00:00:00"/>
        <d v="2025-07-17T00:00:00"/>
        <d v="2025-07-20T00:00:00"/>
        <d v="2025-07-25T00:00:00"/>
        <d v="2025-07-29T00:00:00"/>
      </sharedItems>
      <fieldGroup par="9"/>
    </cacheField>
    <cacheField name="Item Code" numFmtId="0">
      <sharedItems/>
    </cacheField>
    <cacheField name="Item Description" numFmtId="0">
      <sharedItems/>
    </cacheField>
    <cacheField name="Qty" numFmtId="0">
      <sharedItems containsSemiMixedTypes="0" containsString="0" containsNumber="1" minValue="1" maxValue="12.55"/>
    </cacheField>
    <cacheField name="Rate" numFmtId="0">
      <sharedItems containsSemiMixedTypes="0" containsString="0" containsNumber="1" containsInteger="1" minValue="623" maxValue="5450"/>
    </cacheField>
    <cacheField name="Total Sales" numFmtId="0">
      <sharedItems containsSemiMixedTypes="0" containsString="0" containsNumber="1" containsInteger="1" minValue="750" maxValue="18000"/>
    </cacheField>
    <cacheField name="Coustomer Type" numFmtId="0">
      <sharedItems count="3">
        <s v="Not Available"/>
        <s v="Carpenter"/>
        <s v="Retail"/>
      </sharedItems>
    </cacheField>
    <cacheField name="Profit Per Product" numFmtId="0">
      <sharedItems containsSemiMixedTypes="0" containsString="0" containsNumber="1" containsInteger="1" minValue="47" maxValue="1120"/>
    </cacheField>
    <cacheField name="Total Profit" numFmtId="0">
      <sharedItems containsSemiMixedTypes="0" containsString="0" containsNumber="1" minValue="47" maxValue="3360"/>
    </cacheField>
    <cacheField name="Date2" numFmtId="0" databaseField="0">
      <fieldGroup base="0">
        <discretePr count="42">
          <x v="0"/>
          <x v="0"/>
          <x v="0"/>
          <x v="0"/>
          <x v="0"/>
          <x v="0"/>
          <x v="0"/>
          <x v="0"/>
          <x v="0"/>
          <x v="1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2"/>
          <x v="0"/>
          <x v="0"/>
          <x v="0"/>
          <x v="0"/>
          <x v="0"/>
          <x v="0"/>
          <x v="0"/>
          <x v="0"/>
          <x v="0"/>
          <x v="0"/>
          <x v="0"/>
        </discretePr>
        <groupItems count="3">
          <s v="Group1"/>
          <d v="2025-04-30T00:00:00"/>
          <d v="2025-06-30T00:00: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">
  <r>
    <d v="2025-04-02T00:00:00"/>
    <x v="0"/>
    <s v="Centre Table Side Frame (A)"/>
    <n v="6"/>
    <n v="985"/>
    <n v="5910"/>
    <s v="Not Available"/>
    <n v="95"/>
    <n v="570"/>
    <x v="0"/>
  </r>
  <r>
    <d v="2025-04-03T00:00:00"/>
    <x v="1"/>
    <s v="Dining Chair Frame (B)"/>
    <n v="4"/>
    <n v="660"/>
    <n v="2640"/>
    <s v="Carpenter"/>
    <n v="80"/>
    <n v="320"/>
    <x v="0"/>
  </r>
  <r>
    <d v="2025-04-03T00:00:00"/>
    <x v="2"/>
    <s v="Bed Side Frame (B)"/>
    <n v="1"/>
    <n v="1425"/>
    <n v="1425"/>
    <s v="Carpenter"/>
    <n v="150"/>
    <n v="150"/>
    <x v="0"/>
  </r>
  <r>
    <d v="2025-04-05T00:00:00"/>
    <x v="3"/>
    <s v="Bed Side Frame (A)"/>
    <n v="1"/>
    <n v="2923"/>
    <n v="2923"/>
    <s v="Carpenter"/>
    <n v="443"/>
    <n v="443"/>
    <x v="0"/>
  </r>
  <r>
    <d v="2025-04-08T00:00:00"/>
    <x v="4"/>
    <s v="Sofa Side Frame (C)"/>
    <n v="2"/>
    <n v="4540"/>
    <n v="9080"/>
    <s v="Carpenter"/>
    <n v="810"/>
    <n v="1620"/>
    <x v="0"/>
  </r>
  <r>
    <d v="2025-04-10T00:00:00"/>
    <x v="5"/>
    <s v="Dining Chair Frame (A)"/>
    <n v="4"/>
    <n v="700"/>
    <n v="2800"/>
    <s v="Retail"/>
    <n v="95"/>
    <n v="380"/>
    <x v="0"/>
  </r>
  <r>
    <d v="2025-04-18T00:00:00"/>
    <x v="6"/>
    <s v="Dining Chair Frame (C)"/>
    <n v="4"/>
    <n v="710"/>
    <n v="2840"/>
    <s v="Carpenter"/>
    <n v="85"/>
    <n v="340"/>
    <x v="0"/>
  </r>
  <r>
    <d v="2025-04-20T00:00:00"/>
    <x v="7"/>
    <s v="Sofa Side Frame (D)"/>
    <n v="3"/>
    <n v="5450"/>
    <n v="16350"/>
    <s v="Carpenter"/>
    <n v="1120"/>
    <n v="3360"/>
    <x v="0"/>
  </r>
  <r>
    <d v="2025-04-23T00:00:00"/>
    <x v="8"/>
    <s v="Sofa Side Frame (E)"/>
    <n v="1"/>
    <n v="2950"/>
    <n v="2950"/>
    <s v="Not Available"/>
    <n v="264"/>
    <n v="264"/>
    <x v="0"/>
  </r>
  <r>
    <d v="2025-04-23T00:00:00"/>
    <x v="9"/>
    <s v="Dining Chair Frame (D)"/>
    <n v="6"/>
    <n v="623"/>
    <n v="3738"/>
    <s v="Not Available"/>
    <n v="83"/>
    <n v="498"/>
    <x v="0"/>
  </r>
  <r>
    <d v="2025-04-25T00:00:00"/>
    <x v="10"/>
    <s v="Centre Table Frame (C)"/>
    <n v="2"/>
    <n v="850"/>
    <n v="1700"/>
    <s v="Not Available"/>
    <n v="93"/>
    <n v="186"/>
    <x v="0"/>
  </r>
  <r>
    <d v="2025-04-30T00:00:00"/>
    <x v="11"/>
    <s v="Sofa Side Frame (B)"/>
    <n v="1"/>
    <n v="3225"/>
    <n v="3225"/>
    <s v="Retail"/>
    <n v="494"/>
    <n v="494"/>
    <x v="0"/>
  </r>
  <r>
    <d v="2025-05-05T00:00:00"/>
    <x v="5"/>
    <s v="Dining Chair Frame (A)"/>
    <n v="4"/>
    <n v="700"/>
    <n v="2800"/>
    <s v="Carpenter"/>
    <n v="95"/>
    <n v="380"/>
    <x v="1"/>
  </r>
  <r>
    <d v="2025-05-09T00:00:00"/>
    <x v="9"/>
    <s v="Dining Chair Frame (D)"/>
    <n v="6"/>
    <n v="623"/>
    <n v="3738"/>
    <s v="Carpenter"/>
    <n v="83"/>
    <n v="498"/>
    <x v="1"/>
  </r>
  <r>
    <d v="2025-05-12T00:00:00"/>
    <x v="12"/>
    <s v="Bed Side Frame (D)"/>
    <n v="1"/>
    <n v="1650"/>
    <n v="1650"/>
    <s v="Carpenter"/>
    <n v="240"/>
    <n v="240"/>
    <x v="1"/>
  </r>
  <r>
    <d v="2025-05-12T00:00:00"/>
    <x v="9"/>
    <s v="Dining Chair Frame (D)"/>
    <n v="4"/>
    <n v="623"/>
    <n v="2492"/>
    <s v="Carpenter"/>
    <n v="83"/>
    <n v="332"/>
    <x v="1"/>
  </r>
  <r>
    <d v="2025-05-13T00:00:00"/>
    <x v="13"/>
    <s v="Centre Table Frame (A)"/>
    <n v="3"/>
    <n v="750"/>
    <n v="2250"/>
    <s v="Retail"/>
    <n v="47"/>
    <n v="141"/>
    <x v="1"/>
  </r>
  <r>
    <d v="2025-05-13T00:00:00"/>
    <x v="14"/>
    <s v="Teak Sawn Timber Different Cut Size"/>
    <n v="12.55"/>
    <n v="1200"/>
    <n v="15060"/>
    <s v="Carpenter"/>
    <n v="150"/>
    <n v="1882.5"/>
    <x v="1"/>
  </r>
  <r>
    <d v="2025-05-18T00:00:00"/>
    <x v="10"/>
    <s v="Centre Table Frame (C)"/>
    <n v="4"/>
    <n v="850"/>
    <n v="3400"/>
    <s v="Carpenter"/>
    <n v="93"/>
    <n v="372"/>
    <x v="1"/>
  </r>
  <r>
    <d v="2025-05-18T00:00:00"/>
    <x v="5"/>
    <s v="Dining Chair Frame (A)"/>
    <n v="4"/>
    <n v="700"/>
    <n v="2800"/>
    <s v="Retail"/>
    <n v="95"/>
    <n v="380"/>
    <x v="1"/>
  </r>
  <r>
    <d v="2025-05-23T00:00:00"/>
    <x v="15"/>
    <s v="Chair Frame (B)"/>
    <n v="6"/>
    <n v="725"/>
    <n v="4350"/>
    <s v="Carpenter"/>
    <n v="74"/>
    <n v="444"/>
    <x v="1"/>
  </r>
  <r>
    <d v="2025-05-23T00:00:00"/>
    <x v="16"/>
    <s v="Sofa Side Frame (A)"/>
    <n v="3"/>
    <n v="3600"/>
    <n v="10800"/>
    <s v="Carpenter"/>
    <n v="525"/>
    <n v="1575"/>
    <x v="1"/>
  </r>
  <r>
    <d v="2025-05-25T00:00:00"/>
    <x v="15"/>
    <s v="Chair Frame (B)"/>
    <n v="4"/>
    <n v="725"/>
    <n v="2900"/>
    <s v="Not Available"/>
    <n v="74"/>
    <n v="296"/>
    <x v="1"/>
  </r>
  <r>
    <d v="2025-05-25T00:00:00"/>
    <x v="11"/>
    <s v="Sofa Side Frame (B)"/>
    <n v="3"/>
    <n v="3225"/>
    <n v="9675"/>
    <s v="Carpenter"/>
    <n v="494"/>
    <n v="1482"/>
    <x v="1"/>
  </r>
  <r>
    <d v="2025-05-26T00:00:00"/>
    <x v="9"/>
    <s v="Dining Chair Frame (D)"/>
    <n v="4"/>
    <n v="623"/>
    <n v="2492"/>
    <s v="Retail"/>
    <n v="83"/>
    <n v="332"/>
    <x v="1"/>
  </r>
  <r>
    <d v="2025-05-27T00:00:00"/>
    <x v="11"/>
    <s v="Sofa Side Frame (B)"/>
    <n v="1"/>
    <n v="3225"/>
    <n v="3225"/>
    <s v="Retail"/>
    <n v="494"/>
    <n v="494"/>
    <x v="1"/>
  </r>
  <r>
    <d v="2025-05-27T00:00:00"/>
    <x v="8"/>
    <s v="Sofa Side Frame (E)"/>
    <n v="1"/>
    <n v="2950"/>
    <n v="2950"/>
    <s v="Retail"/>
    <n v="264"/>
    <n v="264"/>
    <x v="1"/>
  </r>
  <r>
    <d v="2025-05-30T00:00:00"/>
    <x v="14"/>
    <s v="Teak Sawn Timber Different Cut Size"/>
    <n v="7.33"/>
    <n v="1200"/>
    <n v="8796"/>
    <s v="Carpenter"/>
    <n v="150"/>
    <n v="1099.5"/>
    <x v="1"/>
  </r>
  <r>
    <d v="2025-05-30T00:00:00"/>
    <x v="16"/>
    <s v="Sofa Side Frame (A)"/>
    <n v="2"/>
    <n v="3600"/>
    <n v="7200"/>
    <s v="Carpenter"/>
    <n v="525"/>
    <n v="1050"/>
    <x v="1"/>
  </r>
  <r>
    <d v="2025-06-04T00:00:00"/>
    <x v="11"/>
    <s v="Sofa Side Frame (B)"/>
    <n v="3"/>
    <n v="3225"/>
    <n v="9675"/>
    <s v="Carpenter"/>
    <n v="494"/>
    <n v="1482"/>
    <x v="2"/>
  </r>
  <r>
    <d v="2025-06-08T00:00:00"/>
    <x v="3"/>
    <s v="Bed Side Frame (A)"/>
    <n v="1"/>
    <n v="2923"/>
    <n v="2923"/>
    <s v="Carpenter"/>
    <n v="443"/>
    <n v="443"/>
    <x v="2"/>
  </r>
  <r>
    <d v="2025-06-09T00:00:00"/>
    <x v="14"/>
    <s v="Teak Sawn Timber Different Cut Size"/>
    <n v="7.33"/>
    <n v="1200"/>
    <n v="8796"/>
    <s v="Carpenter"/>
    <n v="150"/>
    <n v="1099.5"/>
    <x v="2"/>
  </r>
  <r>
    <d v="2025-06-09T00:00:00"/>
    <x v="16"/>
    <s v="Sofa Side Frame (A)"/>
    <n v="2"/>
    <n v="3600"/>
    <n v="7200"/>
    <s v="Carpenter"/>
    <n v="525"/>
    <n v="1050"/>
    <x v="2"/>
  </r>
  <r>
    <d v="2025-06-09T00:00:00"/>
    <x v="12"/>
    <s v="Bed Side Frame (D)"/>
    <n v="2"/>
    <n v="1650"/>
    <n v="3300"/>
    <s v="Carpenter"/>
    <n v="240"/>
    <n v="480"/>
    <x v="2"/>
  </r>
  <r>
    <d v="2025-06-09T00:00:00"/>
    <x v="10"/>
    <s v="Centre Table Frame (C)"/>
    <n v="2"/>
    <n v="850"/>
    <n v="1700"/>
    <s v="Retail"/>
    <n v="93"/>
    <n v="186"/>
    <x v="2"/>
  </r>
  <r>
    <d v="2025-06-09T00:00:00"/>
    <x v="17"/>
    <s v="Chair Frame (A)"/>
    <n v="6"/>
    <n v="950"/>
    <n v="5700"/>
    <s v="Carpenter"/>
    <n v="150"/>
    <n v="900"/>
    <x v="2"/>
  </r>
  <r>
    <d v="2025-06-10T00:00:00"/>
    <x v="12"/>
    <s v="Bed Side Frame (D)"/>
    <n v="1"/>
    <n v="1650"/>
    <n v="1650"/>
    <s v="Carpenter"/>
    <n v="240"/>
    <n v="240"/>
    <x v="2"/>
  </r>
  <r>
    <d v="2025-06-10T00:00:00"/>
    <x v="18"/>
    <s v="Bed Side Frame (F)"/>
    <n v="1"/>
    <n v="3120"/>
    <n v="3120"/>
    <s v="Carpenter"/>
    <n v="400"/>
    <n v="400"/>
    <x v="2"/>
  </r>
  <r>
    <d v="2025-06-11T00:00:00"/>
    <x v="7"/>
    <s v="Sofa Side Frame (D)"/>
    <n v="2"/>
    <n v="5450"/>
    <n v="10900"/>
    <s v="Not Available"/>
    <n v="1120"/>
    <n v="2240"/>
    <x v="2"/>
  </r>
  <r>
    <d v="2025-06-11T00:00:00"/>
    <x v="11"/>
    <s v="Sofa Side Frame (B)"/>
    <n v="3"/>
    <n v="3225"/>
    <n v="9675"/>
    <s v="Carpenter"/>
    <n v="494"/>
    <n v="1482"/>
    <x v="2"/>
  </r>
  <r>
    <d v="2025-06-12T00:00:00"/>
    <x v="12"/>
    <s v="Bed Side Frame (D)"/>
    <n v="2"/>
    <n v="1650"/>
    <n v="3300"/>
    <s v="Carpenter"/>
    <n v="240"/>
    <n v="480"/>
    <x v="2"/>
  </r>
  <r>
    <d v="2025-06-15T00:00:00"/>
    <x v="17"/>
    <s v="Chair Frame (A)"/>
    <n v="6"/>
    <n v="950"/>
    <n v="5700"/>
    <s v="Carpenter"/>
    <n v="150"/>
    <n v="900"/>
    <x v="2"/>
  </r>
  <r>
    <d v="2025-06-16T00:00:00"/>
    <x v="16"/>
    <s v="Sofa Side Frame (A)"/>
    <n v="1"/>
    <n v="3600"/>
    <n v="3600"/>
    <s v="Carpenter"/>
    <n v="525"/>
    <n v="525"/>
    <x v="2"/>
  </r>
  <r>
    <d v="2025-06-16T00:00:00"/>
    <x v="14"/>
    <s v="Teak Sawn Timber Different Cut Size"/>
    <n v="12.55"/>
    <n v="1200"/>
    <n v="15060"/>
    <s v="Carpenter"/>
    <n v="150"/>
    <n v="1882.5"/>
    <x v="2"/>
  </r>
  <r>
    <d v="2025-06-16T00:00:00"/>
    <x v="19"/>
    <s v="Centre Table Frame (B)"/>
    <n v="4"/>
    <n v="1015"/>
    <n v="4060"/>
    <s v="Retail"/>
    <n v="135"/>
    <n v="540"/>
    <x v="2"/>
  </r>
  <r>
    <d v="2025-06-16T00:00:00"/>
    <x v="12"/>
    <s v="Bed Side Frame (D)"/>
    <n v="1"/>
    <n v="1650"/>
    <n v="1650"/>
    <s v="Retail"/>
    <n v="240"/>
    <n v="240"/>
    <x v="2"/>
  </r>
  <r>
    <d v="2025-06-20T00:00:00"/>
    <x v="14"/>
    <s v="Teak Sawn Timber Different Cut Size"/>
    <n v="12.55"/>
    <n v="1200"/>
    <n v="15060"/>
    <s v="Carpenter"/>
    <n v="150"/>
    <n v="1882.5"/>
    <x v="2"/>
  </r>
  <r>
    <d v="2025-06-20T00:00:00"/>
    <x v="13"/>
    <s v="Centre Table Frame (A)"/>
    <n v="1"/>
    <n v="750"/>
    <n v="750"/>
    <s v="Carpenter"/>
    <n v="47"/>
    <n v="47"/>
    <x v="2"/>
  </r>
  <r>
    <d v="2025-06-20T00:00:00"/>
    <x v="16"/>
    <s v="Sofa Side Frame (A)"/>
    <n v="1"/>
    <n v="3600"/>
    <n v="3600"/>
    <s v="Carpenter"/>
    <n v="525"/>
    <n v="525"/>
    <x v="2"/>
  </r>
  <r>
    <d v="2025-06-20T00:00:00"/>
    <x v="18"/>
    <s v="Bed Side Frame (F)"/>
    <n v="1"/>
    <n v="3120"/>
    <n v="3120"/>
    <s v="Retail"/>
    <n v="400"/>
    <n v="400"/>
    <x v="2"/>
  </r>
  <r>
    <d v="2025-06-27T00:00:00"/>
    <x v="11"/>
    <s v="Sofa Side Frame (B)"/>
    <n v="3"/>
    <n v="3225"/>
    <n v="9675"/>
    <s v="Carpenter"/>
    <n v="494"/>
    <n v="1482"/>
    <x v="2"/>
  </r>
  <r>
    <d v="2025-06-27T00:00:00"/>
    <x v="10"/>
    <s v="Centre Table Frame (C)"/>
    <n v="3"/>
    <n v="850"/>
    <n v="2550"/>
    <s v="Carpenter"/>
    <n v="93"/>
    <n v="279"/>
    <x v="2"/>
  </r>
  <r>
    <d v="2025-06-30T00:00:00"/>
    <x v="7"/>
    <s v="Sofa Side Frame (D)"/>
    <n v="1"/>
    <n v="5450"/>
    <n v="5450"/>
    <s v="Carpenter"/>
    <n v="1120"/>
    <n v="1120"/>
    <x v="2"/>
  </r>
  <r>
    <d v="2025-07-03T00:00:00"/>
    <x v="10"/>
    <s v="Centre Table Frame (C)"/>
    <n v="1"/>
    <n v="850"/>
    <n v="850"/>
    <s v="Carpenter"/>
    <n v="93"/>
    <n v="93"/>
    <x v="3"/>
  </r>
  <r>
    <d v="2025-07-05T00:00:00"/>
    <x v="17"/>
    <s v="Chair Frame (A)"/>
    <n v="6"/>
    <n v="950"/>
    <n v="5700"/>
    <s v="Retail"/>
    <n v="150"/>
    <n v="900"/>
    <x v="3"/>
  </r>
  <r>
    <d v="2025-07-07T00:00:00"/>
    <x v="16"/>
    <s v="Sofa Side Frame (A)"/>
    <n v="5"/>
    <n v="3600"/>
    <n v="18000"/>
    <s v="Carpenter"/>
    <n v="525"/>
    <n v="2625"/>
    <x v="3"/>
  </r>
  <r>
    <d v="2025-07-07T00:00:00"/>
    <x v="0"/>
    <s v="Centre Table Side Frame (A)"/>
    <n v="2"/>
    <n v="985"/>
    <n v="1970"/>
    <s v="Carpenter"/>
    <n v="95"/>
    <n v="190"/>
    <x v="3"/>
  </r>
  <r>
    <d v="2025-07-08T00:00:00"/>
    <x v="4"/>
    <s v="Sofa Side Frame (C)"/>
    <n v="2"/>
    <n v="4540"/>
    <n v="9080"/>
    <s v="Not Available"/>
    <n v="810"/>
    <n v="1620"/>
    <x v="3"/>
  </r>
  <r>
    <d v="2025-07-09T00:00:00"/>
    <x v="7"/>
    <s v="Sofa Side Frame (D)"/>
    <n v="2"/>
    <n v="5450"/>
    <n v="10900"/>
    <s v="Carpenter"/>
    <n v="1120"/>
    <n v="2240"/>
    <x v="3"/>
  </r>
  <r>
    <d v="2025-07-11T00:00:00"/>
    <x v="0"/>
    <s v="Centre Table Side Frame (A)"/>
    <n v="1"/>
    <n v="985"/>
    <n v="985"/>
    <s v="Retail"/>
    <n v="95"/>
    <n v="95"/>
    <x v="3"/>
  </r>
  <r>
    <d v="2025-07-12T00:00:00"/>
    <x v="4"/>
    <s v="Sofa Side Frame (C)"/>
    <n v="1"/>
    <n v="4540"/>
    <n v="4540"/>
    <s v="Carpenter"/>
    <n v="810"/>
    <n v="810"/>
    <x v="3"/>
  </r>
  <r>
    <d v="2025-07-12T00:00:00"/>
    <x v="6"/>
    <s v="Dining Chair Frame (C)"/>
    <n v="6"/>
    <n v="710"/>
    <n v="4260"/>
    <s v="Retail"/>
    <n v="85"/>
    <n v="510"/>
    <x v="3"/>
  </r>
  <r>
    <d v="2025-07-12T00:00:00"/>
    <x v="20"/>
    <s v="Bed Side Frame (C)"/>
    <n v="1"/>
    <n v="4525"/>
    <n v="4525"/>
    <s v="Retail"/>
    <n v="965"/>
    <n v="965"/>
    <x v="3"/>
  </r>
  <r>
    <d v="2025-07-17T00:00:00"/>
    <x v="20"/>
    <s v="Bed Side Frame (C)"/>
    <n v="3"/>
    <n v="4525"/>
    <n v="13575"/>
    <s v="Carpenter"/>
    <n v="965"/>
    <n v="2895"/>
    <x v="3"/>
  </r>
  <r>
    <d v="2025-07-17T00:00:00"/>
    <x v="9"/>
    <s v="Dining Chair Frame (D)"/>
    <n v="4"/>
    <n v="623"/>
    <n v="2492"/>
    <s v="Not Available"/>
    <n v="83"/>
    <n v="332"/>
    <x v="3"/>
  </r>
  <r>
    <d v="2025-07-20T00:00:00"/>
    <x v="18"/>
    <s v="Bed Side Frame (F)"/>
    <n v="1"/>
    <n v="3120"/>
    <n v="3120"/>
    <s v="Retail"/>
    <n v="400"/>
    <n v="400"/>
    <x v="3"/>
  </r>
  <r>
    <d v="2025-07-20T00:00:00"/>
    <x v="19"/>
    <s v="Centre Table Frame (B)"/>
    <n v="2"/>
    <n v="1015"/>
    <n v="2030"/>
    <s v="Retail"/>
    <n v="135"/>
    <n v="270"/>
    <x v="3"/>
  </r>
  <r>
    <d v="2025-07-25T00:00:00"/>
    <x v="6"/>
    <s v="Dining Chair Frame (C)"/>
    <n v="6"/>
    <n v="710"/>
    <n v="4260"/>
    <s v="Carpenter"/>
    <n v="85"/>
    <n v="510"/>
    <x v="3"/>
  </r>
  <r>
    <d v="2025-07-29T00:00:00"/>
    <x v="9"/>
    <s v="Dining Chair Frame (D)"/>
    <n v="4"/>
    <n v="623"/>
    <n v="2492"/>
    <s v="Carpenter"/>
    <n v="83"/>
    <n v="332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x v="0"/>
    <x v="0"/>
    <s v="Bed Side Frame (A)"/>
    <n v="2"/>
    <n v="2480"/>
    <n v="4960"/>
  </r>
  <r>
    <x v="0"/>
    <x v="1"/>
    <s v="Chair Frame (B)"/>
    <n v="12"/>
    <n v="651"/>
    <n v="7812"/>
  </r>
  <r>
    <x v="0"/>
    <x v="2"/>
    <s v="Sofa Side Frame (B)"/>
    <n v="4"/>
    <n v="2731"/>
    <n v="10924"/>
  </r>
  <r>
    <x v="1"/>
    <x v="3"/>
    <s v="Centre Table Side Frame (A)"/>
    <n v="5"/>
    <n v="890"/>
    <n v="4450"/>
  </r>
  <r>
    <x v="1"/>
    <x v="4"/>
    <s v="Chair Frame (A)"/>
    <n v="12"/>
    <n v="651"/>
    <n v="7812"/>
  </r>
  <r>
    <x v="1"/>
    <x v="5"/>
    <s v="Centre Table Frame (C)"/>
    <n v="5"/>
    <n v="757"/>
    <n v="3785"/>
  </r>
  <r>
    <x v="2"/>
    <x v="6"/>
    <s v="Sofa Side Frame (A)"/>
    <n v="7"/>
    <n v="3075"/>
    <n v="21525"/>
  </r>
  <r>
    <x v="2"/>
    <x v="5"/>
    <s v="Centre Table Frame (C)"/>
    <n v="3"/>
    <n v="757"/>
    <n v="2271"/>
  </r>
  <r>
    <x v="2"/>
    <x v="7"/>
    <s v="Teak Sawn Timber Different Cut Size"/>
    <n v="25.1"/>
    <n v="1050"/>
    <n v="26355"/>
  </r>
  <r>
    <x v="3"/>
    <x v="2"/>
    <s v="Sofa Side Frame (B)"/>
    <n v="2"/>
    <n v="2731"/>
    <n v="5462"/>
  </r>
  <r>
    <x v="3"/>
    <x v="8"/>
    <s v="Sofa Side Frame (D)"/>
    <n v="5"/>
    <n v="4330"/>
    <n v="21650"/>
  </r>
  <r>
    <x v="3"/>
    <x v="9"/>
    <s v="Centre Table Frame (A)"/>
    <n v="3"/>
    <n v="703"/>
    <n v="2109"/>
  </r>
  <r>
    <x v="3"/>
    <x v="10"/>
    <s v="Bed Side Frame (B)"/>
    <n v="2"/>
    <n v="1275"/>
    <n v="2550"/>
  </r>
  <r>
    <x v="4"/>
    <x v="5"/>
    <s v="Centre Table Frame (C)"/>
    <n v="8"/>
    <n v="757"/>
    <n v="6056"/>
  </r>
  <r>
    <x v="4"/>
    <x v="2"/>
    <s v="Sofa Side Frame (B)"/>
    <n v="6"/>
    <n v="2731"/>
    <n v="16386"/>
  </r>
  <r>
    <x v="4"/>
    <x v="10"/>
    <s v="Bed Side Frame (B)"/>
    <n v="2"/>
    <n v="1275"/>
    <n v="2550"/>
  </r>
  <r>
    <x v="5"/>
    <x v="9"/>
    <s v="Centre Table Frame (A)"/>
    <n v="4"/>
    <n v="703"/>
    <n v="2812"/>
  </r>
  <r>
    <x v="5"/>
    <x v="11"/>
    <s v="Bed Side Frame (F)"/>
    <n v="3"/>
    <n v="2720"/>
    <n v="8160"/>
  </r>
  <r>
    <x v="5"/>
    <x v="8"/>
    <s v="Sofa Side Frame (D)"/>
    <n v="5"/>
    <n v="4330"/>
    <n v="21650"/>
  </r>
  <r>
    <x v="5"/>
    <x v="4"/>
    <s v="Chair Frame (A)"/>
    <n v="12"/>
    <n v="800"/>
    <n v="9600"/>
  </r>
  <r>
    <x v="6"/>
    <x v="2"/>
    <s v="Sofa Side Frame (B)"/>
    <n v="3"/>
    <n v="2731"/>
    <n v="8193"/>
  </r>
  <r>
    <x v="6"/>
    <x v="12"/>
    <s v="Bed Side Frame (D)"/>
    <n v="4"/>
    <n v="1410"/>
    <n v="5640"/>
  </r>
  <r>
    <x v="6"/>
    <x v="13"/>
    <s v="Dining Chair Frame (D)"/>
    <n v="6"/>
    <n v="540"/>
    <n v="3240"/>
  </r>
  <r>
    <x v="6"/>
    <x v="3"/>
    <s v="Centre Table Side Frame (A)"/>
    <n v="2"/>
    <n v="890"/>
    <n v="1780"/>
  </r>
  <r>
    <x v="7"/>
    <x v="4"/>
    <s v="Chair Frame (A)"/>
    <n v="12"/>
    <n v="800"/>
    <n v="9600"/>
  </r>
  <r>
    <x v="7"/>
    <x v="14"/>
    <s v="Sofa Side Frame (C)"/>
    <n v="4"/>
    <n v="3730"/>
    <n v="14920"/>
  </r>
  <r>
    <x v="7"/>
    <x v="13"/>
    <s v="Dining Chair Frame (D)"/>
    <n v="6"/>
    <n v="540"/>
    <n v="3240"/>
  </r>
  <r>
    <x v="8"/>
    <x v="15"/>
    <s v="Bed Side Frame (C)"/>
    <n v="4"/>
    <n v="3560"/>
    <n v="14240"/>
  </r>
  <r>
    <x v="8"/>
    <x v="8"/>
    <s v="Sofa Side Frame (D)"/>
    <n v="3"/>
    <n v="4330"/>
    <n v="12990"/>
  </r>
  <r>
    <x v="8"/>
    <x v="16"/>
    <s v="Centre Table Frame (B)"/>
    <n v="3"/>
    <n v="880"/>
    <n v="2640"/>
  </r>
  <r>
    <x v="8"/>
    <x v="11"/>
    <s v="Bed Side Frame (F)"/>
    <n v="5"/>
    <n v="2720"/>
    <n v="13600"/>
  </r>
  <r>
    <x v="9"/>
    <x v="0"/>
    <s v="Bed Side Frame (A)"/>
    <n v="2"/>
    <n v="2480"/>
    <n v="4960"/>
  </r>
  <r>
    <x v="10"/>
    <x v="17"/>
    <s v="Dining Chair Frame (B)"/>
    <n v="6"/>
    <n v="580"/>
    <n v="3480"/>
  </r>
  <r>
    <x v="10"/>
    <x v="15"/>
    <s v="Bed Side Frame (C)"/>
    <n v="5"/>
    <n v="3560"/>
    <n v="17800"/>
  </r>
  <r>
    <x v="10"/>
    <x v="16"/>
    <s v="Centre Table Frame (B)"/>
    <n v="5"/>
    <n v="880"/>
    <n v="4400"/>
  </r>
  <r>
    <x v="10"/>
    <x v="6"/>
    <s v="Sofa Side Frame (A)"/>
    <n v="2"/>
    <n v="3075"/>
    <n v="6150"/>
  </r>
  <r>
    <x v="10"/>
    <x v="7"/>
    <s v="Teak Sawn Timber Different Cut Size"/>
    <n v="12.55"/>
    <n v="1050"/>
    <n v="13177.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">
  <r>
    <x v="0"/>
    <s v="CTSF (A)"/>
    <s v="Centre Table Side Frame (A)"/>
    <n v="6"/>
    <n v="985"/>
    <n v="5910"/>
    <x v="0"/>
    <n v="95"/>
    <n v="570"/>
  </r>
  <r>
    <x v="1"/>
    <s v="DCF (B)"/>
    <s v="Dining Chair Frame (B)"/>
    <n v="4"/>
    <n v="660"/>
    <n v="2640"/>
    <x v="1"/>
    <n v="80"/>
    <n v="320"/>
  </r>
  <r>
    <x v="1"/>
    <s v="BSF (B)"/>
    <s v="Bed Side Frame (B)"/>
    <n v="1"/>
    <n v="1425"/>
    <n v="1425"/>
    <x v="1"/>
    <n v="150"/>
    <n v="150"/>
  </r>
  <r>
    <x v="2"/>
    <s v="BSF (A)"/>
    <s v="Bed Side Frame (A)"/>
    <n v="1"/>
    <n v="2923"/>
    <n v="2923"/>
    <x v="1"/>
    <n v="443"/>
    <n v="443"/>
  </r>
  <r>
    <x v="3"/>
    <s v="SSF (C)"/>
    <s v="Sofa Side Frame (C)"/>
    <n v="2"/>
    <n v="4540"/>
    <n v="9080"/>
    <x v="1"/>
    <n v="810"/>
    <n v="1620"/>
  </r>
  <r>
    <x v="4"/>
    <s v="DCF (A)"/>
    <s v="Dining Chair Frame (A)"/>
    <n v="4"/>
    <n v="700"/>
    <n v="2800"/>
    <x v="2"/>
    <n v="95"/>
    <n v="380"/>
  </r>
  <r>
    <x v="5"/>
    <s v="DCF (C)"/>
    <s v="Dining Chair Frame (C)"/>
    <n v="4"/>
    <n v="710"/>
    <n v="2840"/>
    <x v="1"/>
    <n v="85"/>
    <n v="340"/>
  </r>
  <r>
    <x v="6"/>
    <s v="SSF (D)"/>
    <s v="Sofa Side Frame (D)"/>
    <n v="3"/>
    <n v="5450"/>
    <n v="16350"/>
    <x v="1"/>
    <n v="1120"/>
    <n v="3360"/>
  </r>
  <r>
    <x v="7"/>
    <s v="SSF (E)"/>
    <s v="Sofa Side Frame (E)"/>
    <n v="1"/>
    <n v="2950"/>
    <n v="2950"/>
    <x v="0"/>
    <n v="264"/>
    <n v="264"/>
  </r>
  <r>
    <x v="7"/>
    <s v="DCF (D)"/>
    <s v="Dining Chair Frame (D)"/>
    <n v="6"/>
    <n v="623"/>
    <n v="3738"/>
    <x v="0"/>
    <n v="83"/>
    <n v="498"/>
  </r>
  <r>
    <x v="8"/>
    <s v="CTF (C)"/>
    <s v="Centre Table Frame (C)"/>
    <n v="2"/>
    <n v="850"/>
    <n v="1700"/>
    <x v="0"/>
    <n v="93"/>
    <n v="186"/>
  </r>
  <r>
    <x v="9"/>
    <s v="SSF (B)"/>
    <s v="Sofa Side Frame (B)"/>
    <n v="1"/>
    <n v="3225"/>
    <n v="3225"/>
    <x v="2"/>
    <n v="494"/>
    <n v="494"/>
  </r>
  <r>
    <x v="10"/>
    <s v="DCF (A)"/>
    <s v="Dining Chair Frame (A)"/>
    <n v="4"/>
    <n v="700"/>
    <n v="2800"/>
    <x v="1"/>
    <n v="95"/>
    <n v="380"/>
  </r>
  <r>
    <x v="11"/>
    <s v="DCF (D)"/>
    <s v="Dining Chair Frame (D)"/>
    <n v="6"/>
    <n v="623"/>
    <n v="3738"/>
    <x v="1"/>
    <n v="83"/>
    <n v="498"/>
  </r>
  <r>
    <x v="12"/>
    <s v="BSF (D)"/>
    <s v="Bed Side Frame (D)"/>
    <n v="1"/>
    <n v="1650"/>
    <n v="1650"/>
    <x v="1"/>
    <n v="240"/>
    <n v="240"/>
  </r>
  <r>
    <x v="12"/>
    <s v="DCF (D)"/>
    <s v="Dining Chair Frame (D)"/>
    <n v="4"/>
    <n v="623"/>
    <n v="2492"/>
    <x v="1"/>
    <n v="83"/>
    <n v="332"/>
  </r>
  <r>
    <x v="13"/>
    <s v="CTF (A)"/>
    <s v="Centre Table Frame (A)"/>
    <n v="3"/>
    <n v="750"/>
    <n v="2250"/>
    <x v="2"/>
    <n v="47"/>
    <n v="141"/>
  </r>
  <r>
    <x v="13"/>
    <s v="Teak Sawn Timber"/>
    <s v="Teak Sawn Timber Different Cut Size"/>
    <n v="12.55"/>
    <n v="1200"/>
    <n v="15060"/>
    <x v="1"/>
    <n v="150"/>
    <n v="1882.5"/>
  </r>
  <r>
    <x v="14"/>
    <s v="CTF (C)"/>
    <s v="Centre Table Frame (C)"/>
    <n v="4"/>
    <n v="850"/>
    <n v="3400"/>
    <x v="1"/>
    <n v="93"/>
    <n v="372"/>
  </r>
  <r>
    <x v="14"/>
    <s v="DCF (A)"/>
    <s v="Dining Chair Frame (A)"/>
    <n v="4"/>
    <n v="700"/>
    <n v="2800"/>
    <x v="2"/>
    <n v="95"/>
    <n v="380"/>
  </r>
  <r>
    <x v="15"/>
    <s v="Chair Frame (B)"/>
    <s v="Chair Frame (B)"/>
    <n v="6"/>
    <n v="725"/>
    <n v="4350"/>
    <x v="1"/>
    <n v="74"/>
    <n v="444"/>
  </r>
  <r>
    <x v="15"/>
    <s v="SSF (A)"/>
    <s v="Sofa Side Frame (A)"/>
    <n v="3"/>
    <n v="3600"/>
    <n v="10800"/>
    <x v="1"/>
    <n v="525"/>
    <n v="1575"/>
  </r>
  <r>
    <x v="16"/>
    <s v="Chair Frame (B)"/>
    <s v="Chair Frame (B)"/>
    <n v="4"/>
    <n v="725"/>
    <n v="2900"/>
    <x v="0"/>
    <n v="74"/>
    <n v="296"/>
  </r>
  <r>
    <x v="16"/>
    <s v="SSF (B)"/>
    <s v="Sofa Side Frame (B)"/>
    <n v="3"/>
    <n v="3225"/>
    <n v="9675"/>
    <x v="1"/>
    <n v="494"/>
    <n v="1482"/>
  </r>
  <r>
    <x v="17"/>
    <s v="DCF (D)"/>
    <s v="Dining Chair Frame (D)"/>
    <n v="4"/>
    <n v="623"/>
    <n v="2492"/>
    <x v="2"/>
    <n v="83"/>
    <n v="332"/>
  </r>
  <r>
    <x v="18"/>
    <s v="SSF (B)"/>
    <s v="Sofa Side Frame (B)"/>
    <n v="1"/>
    <n v="3225"/>
    <n v="3225"/>
    <x v="2"/>
    <n v="494"/>
    <n v="494"/>
  </r>
  <r>
    <x v="18"/>
    <s v="SSF (E)"/>
    <s v="Sofa Side Frame (E)"/>
    <n v="1"/>
    <n v="2950"/>
    <n v="2950"/>
    <x v="2"/>
    <n v="264"/>
    <n v="264"/>
  </r>
  <r>
    <x v="19"/>
    <s v="Teak Sawn Timber"/>
    <s v="Teak Sawn Timber Different Cut Size"/>
    <n v="7.33"/>
    <n v="1200"/>
    <n v="8796"/>
    <x v="1"/>
    <n v="150"/>
    <n v="1099.5"/>
  </r>
  <r>
    <x v="19"/>
    <s v="SSF (A)"/>
    <s v="Sofa Side Frame (A)"/>
    <n v="2"/>
    <n v="3600"/>
    <n v="7200"/>
    <x v="1"/>
    <n v="525"/>
    <n v="1050"/>
  </r>
  <r>
    <x v="20"/>
    <s v="SSF (B)"/>
    <s v="Sofa Side Frame (B)"/>
    <n v="3"/>
    <n v="3225"/>
    <n v="9675"/>
    <x v="1"/>
    <n v="494"/>
    <n v="1482"/>
  </r>
  <r>
    <x v="21"/>
    <s v="BSF (A)"/>
    <s v="Bed Side Frame (A)"/>
    <n v="1"/>
    <n v="2923"/>
    <n v="2923"/>
    <x v="1"/>
    <n v="443"/>
    <n v="443"/>
  </r>
  <r>
    <x v="22"/>
    <s v="Teak Sawn Timber"/>
    <s v="Teak Sawn Timber Different Cut Size"/>
    <n v="7.33"/>
    <n v="1200"/>
    <n v="8796"/>
    <x v="1"/>
    <n v="150"/>
    <n v="1099.5"/>
  </r>
  <r>
    <x v="22"/>
    <s v="SSF (A)"/>
    <s v="Sofa Side Frame (A)"/>
    <n v="2"/>
    <n v="3600"/>
    <n v="7200"/>
    <x v="1"/>
    <n v="525"/>
    <n v="1050"/>
  </r>
  <r>
    <x v="22"/>
    <s v="BSF (D)"/>
    <s v="Bed Side Frame (D)"/>
    <n v="2"/>
    <n v="1650"/>
    <n v="3300"/>
    <x v="1"/>
    <n v="240"/>
    <n v="480"/>
  </r>
  <r>
    <x v="22"/>
    <s v="CTF (C)"/>
    <s v="Centre Table Frame (C)"/>
    <n v="2"/>
    <n v="850"/>
    <n v="1700"/>
    <x v="2"/>
    <n v="93"/>
    <n v="186"/>
  </r>
  <r>
    <x v="22"/>
    <s v="Chair Frame (A)"/>
    <s v="Chair Frame (A)"/>
    <n v="6"/>
    <n v="950"/>
    <n v="5700"/>
    <x v="1"/>
    <n v="150"/>
    <n v="900"/>
  </r>
  <r>
    <x v="23"/>
    <s v="BSF (D)"/>
    <s v="Bed Side Frame (D)"/>
    <n v="1"/>
    <n v="1650"/>
    <n v="1650"/>
    <x v="1"/>
    <n v="240"/>
    <n v="240"/>
  </r>
  <r>
    <x v="23"/>
    <s v="BSF (F)"/>
    <s v="Bed Side Frame (F)"/>
    <n v="1"/>
    <n v="3120"/>
    <n v="3120"/>
    <x v="1"/>
    <n v="400"/>
    <n v="400"/>
  </r>
  <r>
    <x v="24"/>
    <s v="SSF (D)"/>
    <s v="Sofa Side Frame (D)"/>
    <n v="2"/>
    <n v="5450"/>
    <n v="10900"/>
    <x v="0"/>
    <n v="1120"/>
    <n v="2240"/>
  </r>
  <r>
    <x v="24"/>
    <s v="SSF (B)"/>
    <s v="Sofa Side Frame (B)"/>
    <n v="3"/>
    <n v="3225"/>
    <n v="9675"/>
    <x v="1"/>
    <n v="494"/>
    <n v="1482"/>
  </r>
  <r>
    <x v="25"/>
    <s v="BSF (D)"/>
    <s v="Bed Side Frame (D)"/>
    <n v="2"/>
    <n v="1650"/>
    <n v="3300"/>
    <x v="1"/>
    <n v="240"/>
    <n v="480"/>
  </r>
  <r>
    <x v="26"/>
    <s v="Chair Frame (A)"/>
    <s v="Chair Frame (A)"/>
    <n v="6"/>
    <n v="950"/>
    <n v="5700"/>
    <x v="1"/>
    <n v="150"/>
    <n v="900"/>
  </r>
  <r>
    <x v="27"/>
    <s v="SSF (A)"/>
    <s v="Sofa Side Frame (A)"/>
    <n v="1"/>
    <n v="3600"/>
    <n v="3600"/>
    <x v="1"/>
    <n v="525"/>
    <n v="525"/>
  </r>
  <r>
    <x v="27"/>
    <s v="Teak Sawn Timber"/>
    <s v="Teak Sawn Timber Different Cut Size"/>
    <n v="12.55"/>
    <n v="1200"/>
    <n v="15060"/>
    <x v="1"/>
    <n v="150"/>
    <n v="1882.5"/>
  </r>
  <r>
    <x v="27"/>
    <s v="CTF (B)"/>
    <s v="Centre Table Frame (B)"/>
    <n v="4"/>
    <n v="1015"/>
    <n v="4060"/>
    <x v="2"/>
    <n v="135"/>
    <n v="540"/>
  </r>
  <r>
    <x v="27"/>
    <s v="BSF (D)"/>
    <s v="Bed Side Frame (D)"/>
    <n v="1"/>
    <n v="1650"/>
    <n v="1650"/>
    <x v="2"/>
    <n v="240"/>
    <n v="240"/>
  </r>
  <r>
    <x v="28"/>
    <s v="Teak Sawn Timber"/>
    <s v="Teak Sawn Timber Different Cut Size"/>
    <n v="12.55"/>
    <n v="1200"/>
    <n v="15060"/>
    <x v="1"/>
    <n v="150"/>
    <n v="1882.5"/>
  </r>
  <r>
    <x v="28"/>
    <s v="CTF (A)"/>
    <s v="Centre Table Frame (A)"/>
    <n v="1"/>
    <n v="750"/>
    <n v="750"/>
    <x v="1"/>
    <n v="47"/>
    <n v="47"/>
  </r>
  <r>
    <x v="28"/>
    <s v="SSF (A)"/>
    <s v="Sofa Side Frame (A)"/>
    <n v="1"/>
    <n v="3600"/>
    <n v="3600"/>
    <x v="1"/>
    <n v="525"/>
    <n v="525"/>
  </r>
  <r>
    <x v="28"/>
    <s v="BSF (F)"/>
    <s v="Bed Side Frame (F)"/>
    <n v="1"/>
    <n v="3120"/>
    <n v="3120"/>
    <x v="2"/>
    <n v="400"/>
    <n v="400"/>
  </r>
  <r>
    <x v="29"/>
    <s v="SSF (B)"/>
    <s v="Sofa Side Frame (B)"/>
    <n v="3"/>
    <n v="3225"/>
    <n v="9675"/>
    <x v="1"/>
    <n v="494"/>
    <n v="1482"/>
  </r>
  <r>
    <x v="29"/>
    <s v="CTF (C)"/>
    <s v="Centre Table Frame (C)"/>
    <n v="3"/>
    <n v="850"/>
    <n v="2550"/>
    <x v="1"/>
    <n v="93"/>
    <n v="279"/>
  </r>
  <r>
    <x v="30"/>
    <s v="SSF (D)"/>
    <s v="Sofa Side Frame (D)"/>
    <n v="1"/>
    <n v="5450"/>
    <n v="5450"/>
    <x v="1"/>
    <n v="1120"/>
    <n v="1120"/>
  </r>
  <r>
    <x v="31"/>
    <s v="CTF (C)"/>
    <s v="Centre Table Frame (C)"/>
    <n v="1"/>
    <n v="850"/>
    <n v="850"/>
    <x v="1"/>
    <n v="93"/>
    <n v="93"/>
  </r>
  <r>
    <x v="32"/>
    <s v="Chair Frame (A)"/>
    <s v="Chair Frame (A)"/>
    <n v="6"/>
    <n v="950"/>
    <n v="5700"/>
    <x v="2"/>
    <n v="150"/>
    <n v="900"/>
  </r>
  <r>
    <x v="33"/>
    <s v="SSF (A)"/>
    <s v="Sofa Side Frame (A)"/>
    <n v="5"/>
    <n v="3600"/>
    <n v="18000"/>
    <x v="1"/>
    <n v="525"/>
    <n v="2625"/>
  </r>
  <r>
    <x v="33"/>
    <s v="CTSF (A)"/>
    <s v="Centre Table Side Frame (A)"/>
    <n v="2"/>
    <n v="985"/>
    <n v="1970"/>
    <x v="1"/>
    <n v="95"/>
    <n v="190"/>
  </r>
  <r>
    <x v="34"/>
    <s v="SSF (C)"/>
    <s v="Sofa Side Frame (C)"/>
    <n v="2"/>
    <n v="4540"/>
    <n v="9080"/>
    <x v="0"/>
    <n v="810"/>
    <n v="1620"/>
  </r>
  <r>
    <x v="35"/>
    <s v="SSF (D)"/>
    <s v="Sofa Side Frame (D)"/>
    <n v="2"/>
    <n v="5450"/>
    <n v="10900"/>
    <x v="1"/>
    <n v="1120"/>
    <n v="2240"/>
  </r>
  <r>
    <x v="36"/>
    <s v="CTSF (A)"/>
    <s v="Centre Table Side Frame (A)"/>
    <n v="1"/>
    <n v="985"/>
    <n v="985"/>
    <x v="2"/>
    <n v="95"/>
    <n v="95"/>
  </r>
  <r>
    <x v="37"/>
    <s v="SSF (C)"/>
    <s v="Sofa Side Frame (C)"/>
    <n v="1"/>
    <n v="4540"/>
    <n v="4540"/>
    <x v="1"/>
    <n v="810"/>
    <n v="810"/>
  </r>
  <r>
    <x v="37"/>
    <s v="DCF (C)"/>
    <s v="Dining Chair Frame (C)"/>
    <n v="6"/>
    <n v="710"/>
    <n v="4260"/>
    <x v="2"/>
    <n v="85"/>
    <n v="510"/>
  </r>
  <r>
    <x v="37"/>
    <s v="BSF (C)"/>
    <s v="Bed Side Frame (C)"/>
    <n v="1"/>
    <n v="4525"/>
    <n v="4525"/>
    <x v="2"/>
    <n v="965"/>
    <n v="965"/>
  </r>
  <r>
    <x v="38"/>
    <s v="BSF (C)"/>
    <s v="Bed Side Frame (C)"/>
    <n v="3"/>
    <n v="4525"/>
    <n v="13575"/>
    <x v="1"/>
    <n v="965"/>
    <n v="2895"/>
  </r>
  <r>
    <x v="38"/>
    <s v="DCF (D)"/>
    <s v="Dining Chair Frame (D)"/>
    <n v="4"/>
    <n v="623"/>
    <n v="2492"/>
    <x v="0"/>
    <n v="83"/>
    <n v="332"/>
  </r>
  <r>
    <x v="39"/>
    <s v="BSF (F)"/>
    <s v="Bed Side Frame (F)"/>
    <n v="1"/>
    <n v="3120"/>
    <n v="3120"/>
    <x v="2"/>
    <n v="400"/>
    <n v="400"/>
  </r>
  <r>
    <x v="39"/>
    <s v="CTF (B)"/>
    <s v="Centre Table Frame (B)"/>
    <n v="2"/>
    <n v="1015"/>
    <n v="2030"/>
    <x v="2"/>
    <n v="135"/>
    <n v="270"/>
  </r>
  <r>
    <x v="40"/>
    <s v="DCF (C)"/>
    <s v="Dining Chair Frame (C)"/>
    <n v="6"/>
    <n v="710"/>
    <n v="4260"/>
    <x v="1"/>
    <n v="85"/>
    <n v="510"/>
  </r>
  <r>
    <x v="41"/>
    <s v="DCF (D)"/>
    <s v="Dining Chair Frame (D)"/>
    <n v="4"/>
    <n v="623"/>
    <n v="2492"/>
    <x v="1"/>
    <n v="83"/>
    <n v="3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AFC58B-8472-4C6A-9609-BC1C23262A93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C31:D35" firstHeaderRow="1" firstDataRow="1" firstDataCol="1"/>
  <pivotFields count="10">
    <pivotField showAll="0">
      <items count="43">
        <item x="0"/>
        <item x="1"/>
        <item x="2"/>
        <item x="3"/>
        <item x="4"/>
        <item x="5"/>
        <item x="6"/>
        <item x="7"/>
        <item x="8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1"/>
        <item x="32"/>
        <item x="33"/>
        <item x="34"/>
        <item x="35"/>
        <item x="36"/>
        <item x="37"/>
        <item x="38"/>
        <item x="39"/>
        <item x="40"/>
        <item x="41"/>
        <item x="9"/>
        <item x="30"/>
        <item t="default"/>
      </items>
    </pivotField>
    <pivotField showAll="0"/>
    <pivotField showAll="0"/>
    <pivotField showAll="0"/>
    <pivotField showAll="0"/>
    <pivotField dataField="1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>
      <items count="4">
        <item x="0"/>
        <item x="1"/>
        <item x="2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ales" fld="5" baseField="0" baseItem="0"/>
  </dataFields>
  <chartFormats count="8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3AB075-773E-4751-AF29-9432E1F9C8AA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5">
  <location ref="B100:D119" firstHeaderRow="0" firstDataRow="1" firstDataCol="1" rowPageCount="1" colPageCount="1"/>
  <pivotFields count="6">
    <pivotField axis="axisPage" numFmtId="14" showAll="0">
      <items count="12">
        <item x="8"/>
        <item x="0"/>
        <item x="1"/>
        <item x="2"/>
        <item x="3"/>
        <item x="4"/>
        <item x="5"/>
        <item x="6"/>
        <item x="7"/>
        <item x="10"/>
        <item x="9"/>
        <item t="default"/>
      </items>
    </pivotField>
    <pivotField axis="axisRow" showAll="0" sortType="ascending">
      <items count="23">
        <item x="0"/>
        <item x="10"/>
        <item x="15"/>
        <item x="12"/>
        <item x="11"/>
        <item x="4"/>
        <item x="1"/>
        <item x="9"/>
        <item x="16"/>
        <item x="5"/>
        <item x="3"/>
        <item x="17"/>
        <item m="1" x="19"/>
        <item x="13"/>
        <item m="1" x="21"/>
        <item x="6"/>
        <item x="2"/>
        <item x="14"/>
        <item x="8"/>
        <item m="1" x="20"/>
        <item x="7"/>
        <item m="1" x="18"/>
        <item t="default"/>
      </items>
    </pivotField>
    <pivotField showAll="0"/>
    <pivotField dataField="1" showAll="0"/>
    <pivotField showAll="0"/>
    <pivotField dataField="1" showAl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3"/>
    </i>
    <i>
      <x v="15"/>
    </i>
    <i>
      <x v="16"/>
    </i>
    <i>
      <x v="17"/>
    </i>
    <i>
      <x v="18"/>
    </i>
    <i>
      <x v="20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 of Total Amount" fld="5" baseField="0" baseItem="0"/>
    <dataField name="Sum of Qty" fld="3" baseField="0" baseItem="0"/>
  </dataFields>
  <chartFormats count="2">
    <chartFormat chart="1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5086EC-1961-43B9-8ACB-3F463C9C1557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0">
  <location ref="B50:G73" firstHeaderRow="1" firstDataRow="2" firstDataCol="1"/>
  <pivotFields count="10">
    <pivotField numFmtId="14" showAll="0"/>
    <pivotField axis="axisRow" showAll="0">
      <items count="22">
        <item x="3"/>
        <item x="2"/>
        <item x="20"/>
        <item x="12"/>
        <item x="18"/>
        <item x="17"/>
        <item x="15"/>
        <item x="13"/>
        <item x="19"/>
        <item x="10"/>
        <item x="0"/>
        <item x="5"/>
        <item x="1"/>
        <item x="6"/>
        <item x="9"/>
        <item x="16"/>
        <item x="11"/>
        <item x="4"/>
        <item x="7"/>
        <item x="8"/>
        <item x="1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axis="axisCol" showAll="0">
      <items count="5">
        <item x="0"/>
        <item x="3"/>
        <item x="2"/>
        <item x="1"/>
        <item t="default"/>
      </items>
    </pivotField>
  </pivotFields>
  <rowFields count="1">
    <field x="1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9"/>
  </colFields>
  <colItems count="5">
    <i>
      <x/>
    </i>
    <i>
      <x v="1"/>
    </i>
    <i>
      <x v="2"/>
    </i>
    <i>
      <x v="3"/>
    </i>
    <i t="grand">
      <x/>
    </i>
  </colItems>
  <dataFields count="1">
    <dataField name="Sum of Qt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96344-16AF-4CD3-B498-A2378D11CFA8}">
  <dimension ref="A1:P265"/>
  <sheetViews>
    <sheetView tabSelected="1" topLeftCell="A142" zoomScale="70" zoomScaleNormal="70" workbookViewId="0">
      <selection activeCell="G163" sqref="G163"/>
    </sheetView>
  </sheetViews>
  <sheetFormatPr defaultRowHeight="14.4"/>
  <cols>
    <col min="2" max="2" width="16.77734375" bestFit="1" customWidth="1"/>
    <col min="3" max="3" width="13.88671875" bestFit="1" customWidth="1"/>
    <col min="4" max="4" width="16.77734375" bestFit="1" customWidth="1"/>
    <col min="5" max="5" width="9" bestFit="1" customWidth="1"/>
    <col min="6" max="6" width="9.77734375" bestFit="1" customWidth="1"/>
    <col min="7" max="7" width="11.109375" bestFit="1" customWidth="1"/>
    <col min="8" max="8" width="20.33203125" bestFit="1" customWidth="1"/>
    <col min="9" max="9" width="18.77734375" bestFit="1" customWidth="1"/>
    <col min="10" max="10" width="15.109375" bestFit="1" customWidth="1"/>
    <col min="11" max="11" width="12.44140625" bestFit="1" customWidth="1"/>
    <col min="14" max="14" width="18" bestFit="1" customWidth="1"/>
    <col min="17" max="17" width="13.44140625" bestFit="1" customWidth="1"/>
    <col min="18" max="18" width="20.33203125" bestFit="1" customWidth="1"/>
  </cols>
  <sheetData>
    <row r="1" spans="1:16" ht="23.4" customHeight="1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1"/>
      <c r="O1" s="1"/>
      <c r="P1" s="1"/>
    </row>
    <row r="3" spans="1:16" ht="21" customHeight="1">
      <c r="B3" s="3" t="s">
        <v>1</v>
      </c>
      <c r="C3" s="4">
        <f>SUM([1]!Sale[Total Sales])</f>
        <v>369152</v>
      </c>
      <c r="E3" s="5" t="s">
        <v>2</v>
      </c>
      <c r="F3" s="5" t="s">
        <v>3</v>
      </c>
      <c r="G3" s="5" t="s">
        <v>4</v>
      </c>
      <c r="H3" s="5" t="s">
        <v>5</v>
      </c>
      <c r="I3" s="5" t="s">
        <v>6</v>
      </c>
      <c r="J3" s="5" t="s">
        <v>7</v>
      </c>
    </row>
    <row r="4" spans="1:16" ht="24.6" customHeight="1">
      <c r="B4" s="3" t="s">
        <v>8</v>
      </c>
      <c r="C4" s="6">
        <f>SUM([1]Purchase!F2:F38)</f>
        <v>328929.5</v>
      </c>
      <c r="E4" s="7" t="s">
        <v>9</v>
      </c>
      <c r="F4" s="7" t="s">
        <v>10</v>
      </c>
      <c r="G4" s="7">
        <v>2480</v>
      </c>
      <c r="H4" s="7">
        <v>2923</v>
      </c>
      <c r="I4" s="7">
        <f t="shared" ref="I4:I24" si="0">H4-G4</f>
        <v>443</v>
      </c>
      <c r="J4" s="8">
        <f t="shared" ref="J4:J24" si="1">I4/G4*100</f>
        <v>17.862903225806452</v>
      </c>
    </row>
    <row r="5" spans="1:16">
      <c r="B5" s="3" t="s">
        <v>11</v>
      </c>
      <c r="C5" s="9">
        <v>54979.5</v>
      </c>
      <c r="E5" s="7" t="s">
        <v>12</v>
      </c>
      <c r="F5" s="7" t="s">
        <v>13</v>
      </c>
      <c r="G5" s="7">
        <v>1275</v>
      </c>
      <c r="H5" s="7">
        <v>1425</v>
      </c>
      <c r="I5" s="7">
        <f t="shared" si="0"/>
        <v>150</v>
      </c>
      <c r="J5" s="8">
        <f t="shared" si="1"/>
        <v>11.76470588235294</v>
      </c>
    </row>
    <row r="6" spans="1:16">
      <c r="B6" s="3"/>
      <c r="C6" s="4"/>
      <c r="E6" s="7" t="s">
        <v>14</v>
      </c>
      <c r="F6" s="7" t="s">
        <v>15</v>
      </c>
      <c r="G6" s="7">
        <v>3560</v>
      </c>
      <c r="H6" s="7">
        <v>4525</v>
      </c>
      <c r="I6" s="7">
        <f t="shared" si="0"/>
        <v>965</v>
      </c>
      <c r="J6" s="8">
        <f t="shared" si="1"/>
        <v>27.106741573033709</v>
      </c>
    </row>
    <row r="7" spans="1:16" ht="28.8">
      <c r="B7" s="3" t="s">
        <v>16</v>
      </c>
      <c r="C7" s="4" t="s">
        <v>17</v>
      </c>
      <c r="E7" s="7" t="s">
        <v>18</v>
      </c>
      <c r="F7" s="7" t="s">
        <v>19</v>
      </c>
      <c r="G7" s="7">
        <v>1410</v>
      </c>
      <c r="H7" s="7">
        <v>1650</v>
      </c>
      <c r="I7" s="7">
        <f t="shared" si="0"/>
        <v>240</v>
      </c>
      <c r="J7" s="8">
        <f t="shared" si="1"/>
        <v>17.021276595744681</v>
      </c>
    </row>
    <row r="8" spans="1:16" ht="23.4" customHeight="1">
      <c r="B8" s="3"/>
      <c r="C8" s="10"/>
      <c r="E8" s="7" t="s">
        <v>20</v>
      </c>
      <c r="F8" s="7" t="s">
        <v>21</v>
      </c>
      <c r="G8" s="7">
        <v>2720</v>
      </c>
      <c r="H8" s="7">
        <v>3120</v>
      </c>
      <c r="I8" s="7">
        <f t="shared" si="0"/>
        <v>400</v>
      </c>
      <c r="J8" s="8">
        <f t="shared" si="1"/>
        <v>14.705882352941178</v>
      </c>
    </row>
    <row r="9" spans="1:16" ht="31.2" customHeight="1">
      <c r="B9" s="11" t="s">
        <v>22</v>
      </c>
      <c r="C9" s="4">
        <v>69</v>
      </c>
      <c r="E9" s="7" t="s">
        <v>23</v>
      </c>
      <c r="F9" s="7" t="s">
        <v>23</v>
      </c>
      <c r="G9" s="7">
        <v>800</v>
      </c>
      <c r="H9" s="7">
        <v>950</v>
      </c>
      <c r="I9" s="7">
        <f t="shared" si="0"/>
        <v>150</v>
      </c>
      <c r="J9" s="8">
        <f t="shared" si="1"/>
        <v>18.75</v>
      </c>
    </row>
    <row r="10" spans="1:16" ht="37.200000000000003" customHeight="1">
      <c r="B10" s="11" t="s">
        <v>24</v>
      </c>
      <c r="C10">
        <f>COUNTA([1]Purchase!A:A)</f>
        <v>38</v>
      </c>
      <c r="E10" s="7" t="s">
        <v>25</v>
      </c>
      <c r="F10" s="7" t="s">
        <v>25</v>
      </c>
      <c r="G10" s="7">
        <v>651</v>
      </c>
      <c r="H10" s="7">
        <v>725</v>
      </c>
      <c r="I10" s="7">
        <f t="shared" si="0"/>
        <v>74</v>
      </c>
      <c r="J10" s="8">
        <f t="shared" si="1"/>
        <v>11.367127496159753</v>
      </c>
    </row>
    <row r="11" spans="1:16">
      <c r="E11" s="7" t="s">
        <v>26</v>
      </c>
      <c r="F11" s="7" t="s">
        <v>27</v>
      </c>
      <c r="G11" s="7">
        <v>703</v>
      </c>
      <c r="H11" s="7">
        <v>750</v>
      </c>
      <c r="I11" s="7">
        <f t="shared" si="0"/>
        <v>47</v>
      </c>
      <c r="J11" s="8">
        <f t="shared" si="1"/>
        <v>6.6856330014224756</v>
      </c>
    </row>
    <row r="12" spans="1:16">
      <c r="E12" s="7" t="s">
        <v>28</v>
      </c>
      <c r="F12" s="7" t="s">
        <v>29</v>
      </c>
      <c r="G12" s="7">
        <v>880</v>
      </c>
      <c r="H12" s="7">
        <v>1015</v>
      </c>
      <c r="I12" s="7">
        <f t="shared" si="0"/>
        <v>135</v>
      </c>
      <c r="J12" s="8">
        <f t="shared" si="1"/>
        <v>15.340909090909092</v>
      </c>
    </row>
    <row r="13" spans="1:16">
      <c r="E13" s="7" t="s">
        <v>30</v>
      </c>
      <c r="F13" s="7" t="s">
        <v>31</v>
      </c>
      <c r="G13" s="7">
        <v>757</v>
      </c>
      <c r="H13" s="7">
        <v>850</v>
      </c>
      <c r="I13" s="7">
        <f t="shared" si="0"/>
        <v>93</v>
      </c>
      <c r="J13" s="8">
        <f t="shared" si="1"/>
        <v>12.285336856010568</v>
      </c>
    </row>
    <row r="14" spans="1:16">
      <c r="E14" s="7" t="s">
        <v>32</v>
      </c>
      <c r="F14" s="7" t="s">
        <v>33</v>
      </c>
      <c r="G14" s="7">
        <v>890</v>
      </c>
      <c r="H14" s="7">
        <v>985</v>
      </c>
      <c r="I14" s="7">
        <f t="shared" si="0"/>
        <v>95</v>
      </c>
      <c r="J14" s="8">
        <f t="shared" si="1"/>
        <v>10.674157303370785</v>
      </c>
    </row>
    <row r="15" spans="1:16">
      <c r="E15" s="7" t="s">
        <v>34</v>
      </c>
      <c r="F15" s="7" t="s">
        <v>35</v>
      </c>
      <c r="G15" s="7">
        <v>605</v>
      </c>
      <c r="H15" s="7">
        <v>700</v>
      </c>
      <c r="I15" s="7">
        <f t="shared" si="0"/>
        <v>95</v>
      </c>
      <c r="J15" s="8">
        <f t="shared" si="1"/>
        <v>15.702479338842975</v>
      </c>
    </row>
    <row r="16" spans="1:16">
      <c r="E16" s="7" t="s">
        <v>36</v>
      </c>
      <c r="F16" s="7" t="s">
        <v>37</v>
      </c>
      <c r="G16" s="7">
        <v>580</v>
      </c>
      <c r="H16" s="7">
        <v>660</v>
      </c>
      <c r="I16" s="7">
        <f t="shared" si="0"/>
        <v>80</v>
      </c>
      <c r="J16" s="8">
        <f t="shared" si="1"/>
        <v>13.793103448275861</v>
      </c>
    </row>
    <row r="17" spans="2:10">
      <c r="E17" s="7" t="s">
        <v>38</v>
      </c>
      <c r="F17" s="7" t="s">
        <v>39</v>
      </c>
      <c r="G17" s="7">
        <v>625</v>
      </c>
      <c r="H17" s="7">
        <v>710</v>
      </c>
      <c r="I17" s="7">
        <f t="shared" si="0"/>
        <v>85</v>
      </c>
      <c r="J17" s="8">
        <f t="shared" si="1"/>
        <v>13.600000000000001</v>
      </c>
    </row>
    <row r="18" spans="2:10">
      <c r="E18" s="7" t="s">
        <v>40</v>
      </c>
      <c r="F18" s="7" t="s">
        <v>41</v>
      </c>
      <c r="G18" s="7">
        <v>540</v>
      </c>
      <c r="H18" s="7">
        <v>623</v>
      </c>
      <c r="I18" s="7">
        <f t="shared" si="0"/>
        <v>83</v>
      </c>
      <c r="J18" s="8">
        <f t="shared" si="1"/>
        <v>15.37037037037037</v>
      </c>
    </row>
    <row r="19" spans="2:10">
      <c r="B19" t="s">
        <v>42</v>
      </c>
      <c r="E19" s="7" t="s">
        <v>43</v>
      </c>
      <c r="F19" s="7" t="s">
        <v>44</v>
      </c>
      <c r="G19" s="7">
        <v>3075</v>
      </c>
      <c r="H19" s="7">
        <v>3600</v>
      </c>
      <c r="I19" s="7">
        <f t="shared" si="0"/>
        <v>525</v>
      </c>
      <c r="J19" s="8">
        <f t="shared" si="1"/>
        <v>17.073170731707318</v>
      </c>
    </row>
    <row r="20" spans="2:10">
      <c r="E20" s="7" t="s">
        <v>45</v>
      </c>
      <c r="F20" s="7" t="s">
        <v>17</v>
      </c>
      <c r="G20" s="7">
        <v>2731</v>
      </c>
      <c r="H20" s="7">
        <v>3225</v>
      </c>
      <c r="I20" s="7">
        <f t="shared" si="0"/>
        <v>494</v>
      </c>
      <c r="J20" s="8">
        <f t="shared" si="1"/>
        <v>18.088612229952396</v>
      </c>
    </row>
    <row r="21" spans="2:10">
      <c r="E21" s="7" t="s">
        <v>46</v>
      </c>
      <c r="F21" s="7" t="s">
        <v>47</v>
      </c>
      <c r="G21" s="7">
        <v>3730</v>
      </c>
      <c r="H21" s="7">
        <v>4540</v>
      </c>
      <c r="I21" s="7">
        <f t="shared" si="0"/>
        <v>810</v>
      </c>
      <c r="J21" s="8">
        <f t="shared" si="1"/>
        <v>21.715817694369974</v>
      </c>
    </row>
    <row r="22" spans="2:10">
      <c r="E22" s="7" t="s">
        <v>48</v>
      </c>
      <c r="F22" s="7" t="s">
        <v>49</v>
      </c>
      <c r="G22" s="7">
        <v>4330</v>
      </c>
      <c r="H22" s="7">
        <v>5450</v>
      </c>
      <c r="I22" s="7">
        <f t="shared" si="0"/>
        <v>1120</v>
      </c>
      <c r="J22" s="8">
        <f t="shared" si="1"/>
        <v>25.866050808314089</v>
      </c>
    </row>
    <row r="23" spans="2:10">
      <c r="E23" s="7" t="s">
        <v>50</v>
      </c>
      <c r="F23" s="7" t="s">
        <v>51</v>
      </c>
      <c r="G23" s="7">
        <v>2686</v>
      </c>
      <c r="H23" s="7">
        <v>2950</v>
      </c>
      <c r="I23" s="7">
        <f t="shared" si="0"/>
        <v>264</v>
      </c>
      <c r="J23" s="8">
        <f t="shared" si="1"/>
        <v>9.8287416232315703</v>
      </c>
    </row>
    <row r="24" spans="2:10">
      <c r="E24" s="7" t="s">
        <v>52</v>
      </c>
      <c r="F24" s="7" t="s">
        <v>53</v>
      </c>
      <c r="G24" s="7">
        <v>1050</v>
      </c>
      <c r="H24" s="7">
        <v>1200</v>
      </c>
      <c r="I24" s="7">
        <f t="shared" si="0"/>
        <v>150</v>
      </c>
      <c r="J24" s="8">
        <f t="shared" si="1"/>
        <v>14.285714285714285</v>
      </c>
    </row>
    <row r="25" spans="2:10">
      <c r="E25" s="7" t="s">
        <v>54</v>
      </c>
      <c r="G25">
        <f>SUM(G4:G24)</f>
        <v>36078</v>
      </c>
      <c r="H25">
        <f>SUM(H4:H24)</f>
        <v>42576</v>
      </c>
    </row>
    <row r="27" spans="2:10" ht="18">
      <c r="B27" s="12" t="s">
        <v>55</v>
      </c>
      <c r="C27" s="13"/>
      <c r="D27" s="13"/>
      <c r="E27" s="13"/>
    </row>
    <row r="31" spans="2:10">
      <c r="C31" t="s">
        <v>56</v>
      </c>
      <c r="D31" t="s">
        <v>57</v>
      </c>
    </row>
    <row r="32" spans="2:10">
      <c r="C32" s="14" t="s">
        <v>58</v>
      </c>
      <c r="D32">
        <v>278590</v>
      </c>
    </row>
    <row r="33" spans="2:7">
      <c r="C33" s="14" t="s">
        <v>59</v>
      </c>
      <c r="D33">
        <v>39670</v>
      </c>
    </row>
    <row r="34" spans="2:7">
      <c r="C34" s="14" t="s">
        <v>60</v>
      </c>
      <c r="D34">
        <v>50892</v>
      </c>
    </row>
    <row r="35" spans="2:7">
      <c r="C35" s="14" t="s">
        <v>61</v>
      </c>
      <c r="D35">
        <v>369152</v>
      </c>
    </row>
    <row r="46" spans="2:7" ht="21">
      <c r="B46" s="2" t="s">
        <v>62</v>
      </c>
      <c r="C46" s="2"/>
      <c r="D46" s="2"/>
      <c r="E46" s="2"/>
      <c r="F46" s="2"/>
      <c r="G46" s="2"/>
    </row>
    <row r="50" spans="2:7">
      <c r="B50" t="s">
        <v>63</v>
      </c>
      <c r="C50" t="s">
        <v>64</v>
      </c>
    </row>
    <row r="51" spans="2:7">
      <c r="B51" t="s">
        <v>56</v>
      </c>
      <c r="C51" t="s">
        <v>65</v>
      </c>
      <c r="D51" t="s">
        <v>66</v>
      </c>
      <c r="E51" t="s">
        <v>67</v>
      </c>
      <c r="F51" t="s">
        <v>68</v>
      </c>
      <c r="G51" t="s">
        <v>61</v>
      </c>
    </row>
    <row r="52" spans="2:7">
      <c r="B52" s="14" t="s">
        <v>9</v>
      </c>
      <c r="C52">
        <v>1</v>
      </c>
      <c r="E52">
        <v>1</v>
      </c>
      <c r="G52">
        <v>2</v>
      </c>
    </row>
    <row r="53" spans="2:7">
      <c r="B53" s="14" t="s">
        <v>12</v>
      </c>
      <c r="C53">
        <v>1</v>
      </c>
      <c r="G53">
        <v>1</v>
      </c>
    </row>
    <row r="54" spans="2:7">
      <c r="B54" s="14" t="s">
        <v>14</v>
      </c>
      <c r="D54">
        <v>4</v>
      </c>
      <c r="G54">
        <v>4</v>
      </c>
    </row>
    <row r="55" spans="2:7">
      <c r="B55" s="14" t="s">
        <v>18</v>
      </c>
      <c r="E55">
        <v>6</v>
      </c>
      <c r="F55">
        <v>1</v>
      </c>
      <c r="G55">
        <v>7</v>
      </c>
    </row>
    <row r="56" spans="2:7">
      <c r="B56" s="14" t="s">
        <v>20</v>
      </c>
      <c r="D56">
        <v>1</v>
      </c>
      <c r="E56">
        <v>2</v>
      </c>
      <c r="G56">
        <v>3</v>
      </c>
    </row>
    <row r="57" spans="2:7">
      <c r="B57" s="14" t="s">
        <v>23</v>
      </c>
      <c r="D57">
        <v>6</v>
      </c>
      <c r="E57">
        <v>12</v>
      </c>
      <c r="G57">
        <v>18</v>
      </c>
    </row>
    <row r="58" spans="2:7">
      <c r="B58" s="14" t="s">
        <v>25</v>
      </c>
      <c r="F58">
        <v>10</v>
      </c>
      <c r="G58">
        <v>10</v>
      </c>
    </row>
    <row r="59" spans="2:7">
      <c r="B59" s="14" t="s">
        <v>26</v>
      </c>
      <c r="E59">
        <v>1</v>
      </c>
      <c r="F59">
        <v>3</v>
      </c>
      <c r="G59">
        <v>4</v>
      </c>
    </row>
    <row r="60" spans="2:7">
      <c r="B60" s="14" t="s">
        <v>28</v>
      </c>
      <c r="D60">
        <v>2</v>
      </c>
      <c r="E60">
        <v>4</v>
      </c>
      <c r="G60">
        <v>6</v>
      </c>
    </row>
    <row r="61" spans="2:7">
      <c r="B61" s="14" t="s">
        <v>30</v>
      </c>
      <c r="C61">
        <v>2</v>
      </c>
      <c r="D61">
        <v>1</v>
      </c>
      <c r="E61">
        <v>5</v>
      </c>
      <c r="F61">
        <v>4</v>
      </c>
      <c r="G61">
        <v>12</v>
      </c>
    </row>
    <row r="62" spans="2:7">
      <c r="B62" s="14" t="s">
        <v>32</v>
      </c>
      <c r="C62">
        <v>6</v>
      </c>
      <c r="D62">
        <v>3</v>
      </c>
      <c r="G62">
        <v>9</v>
      </c>
    </row>
    <row r="63" spans="2:7">
      <c r="B63" s="14" t="s">
        <v>34</v>
      </c>
      <c r="C63">
        <v>4</v>
      </c>
      <c r="F63">
        <v>8</v>
      </c>
      <c r="G63">
        <v>12</v>
      </c>
    </row>
    <row r="64" spans="2:7">
      <c r="B64" s="14" t="s">
        <v>36</v>
      </c>
      <c r="C64">
        <v>4</v>
      </c>
      <c r="G64">
        <v>4</v>
      </c>
    </row>
    <row r="65" spans="2:7">
      <c r="B65" s="14" t="s">
        <v>38</v>
      </c>
      <c r="C65">
        <v>4</v>
      </c>
      <c r="D65">
        <v>12</v>
      </c>
      <c r="G65">
        <v>16</v>
      </c>
    </row>
    <row r="66" spans="2:7">
      <c r="B66" s="14" t="s">
        <v>40</v>
      </c>
      <c r="C66">
        <v>6</v>
      </c>
      <c r="D66">
        <v>8</v>
      </c>
      <c r="F66">
        <v>14</v>
      </c>
      <c r="G66">
        <v>28</v>
      </c>
    </row>
    <row r="67" spans="2:7">
      <c r="B67" s="14" t="s">
        <v>43</v>
      </c>
      <c r="D67">
        <v>5</v>
      </c>
      <c r="E67">
        <v>4</v>
      </c>
      <c r="F67">
        <v>5</v>
      </c>
      <c r="G67">
        <v>14</v>
      </c>
    </row>
    <row r="68" spans="2:7">
      <c r="B68" s="14" t="s">
        <v>45</v>
      </c>
      <c r="C68">
        <v>1</v>
      </c>
      <c r="E68">
        <v>9</v>
      </c>
      <c r="F68">
        <v>4</v>
      </c>
      <c r="G68">
        <v>14</v>
      </c>
    </row>
    <row r="69" spans="2:7">
      <c r="B69" s="14" t="s">
        <v>46</v>
      </c>
      <c r="C69">
        <v>2</v>
      </c>
      <c r="D69">
        <v>3</v>
      </c>
      <c r="G69">
        <v>5</v>
      </c>
    </row>
    <row r="70" spans="2:7">
      <c r="B70" s="14" t="s">
        <v>48</v>
      </c>
      <c r="C70">
        <v>3</v>
      </c>
      <c r="D70">
        <v>2</v>
      </c>
      <c r="E70">
        <v>3</v>
      </c>
      <c r="G70">
        <v>8</v>
      </c>
    </row>
    <row r="71" spans="2:7">
      <c r="B71" s="14" t="s">
        <v>50</v>
      </c>
      <c r="C71">
        <v>1</v>
      </c>
      <c r="F71">
        <v>1</v>
      </c>
      <c r="G71">
        <v>2</v>
      </c>
    </row>
    <row r="72" spans="2:7">
      <c r="B72" s="14" t="s">
        <v>52</v>
      </c>
      <c r="E72">
        <v>32.430000000000007</v>
      </c>
      <c r="F72">
        <v>19.880000000000003</v>
      </c>
      <c r="G72">
        <v>52.310000000000009</v>
      </c>
    </row>
    <row r="73" spans="2:7">
      <c r="B73" s="14" t="s">
        <v>61</v>
      </c>
      <c r="C73">
        <v>35</v>
      </c>
      <c r="D73">
        <v>47</v>
      </c>
      <c r="E73">
        <v>79.430000000000007</v>
      </c>
      <c r="F73">
        <v>69.88</v>
      </c>
      <c r="G73">
        <v>231.31</v>
      </c>
    </row>
    <row r="96" spans="2:7" ht="21">
      <c r="B96" s="2" t="s">
        <v>69</v>
      </c>
      <c r="C96" s="2"/>
      <c r="D96" s="2"/>
      <c r="E96" s="2"/>
      <c r="F96" s="2"/>
      <c r="G96" s="2"/>
    </row>
    <row r="98" spans="2:4">
      <c r="B98" t="s">
        <v>70</v>
      </c>
      <c r="C98" t="s">
        <v>71</v>
      </c>
    </row>
    <row r="100" spans="2:4">
      <c r="B100" t="s">
        <v>56</v>
      </c>
      <c r="C100" t="s">
        <v>72</v>
      </c>
      <c r="D100" t="s">
        <v>63</v>
      </c>
    </row>
    <row r="101" spans="2:4">
      <c r="B101" s="14" t="s">
        <v>9</v>
      </c>
      <c r="C101">
        <v>9920</v>
      </c>
      <c r="D101">
        <v>4</v>
      </c>
    </row>
    <row r="102" spans="2:4">
      <c r="B102" s="14" t="s">
        <v>12</v>
      </c>
      <c r="C102">
        <v>5100</v>
      </c>
      <c r="D102">
        <v>4</v>
      </c>
    </row>
    <row r="103" spans="2:4">
      <c r="B103" s="14" t="s">
        <v>14</v>
      </c>
      <c r="C103">
        <v>32040</v>
      </c>
      <c r="D103">
        <v>9</v>
      </c>
    </row>
    <row r="104" spans="2:4">
      <c r="B104" s="14" t="s">
        <v>18</v>
      </c>
      <c r="C104">
        <v>5640</v>
      </c>
      <c r="D104">
        <v>4</v>
      </c>
    </row>
    <row r="105" spans="2:4">
      <c r="B105" s="14" t="s">
        <v>20</v>
      </c>
      <c r="C105">
        <v>21760</v>
      </c>
      <c r="D105">
        <v>8</v>
      </c>
    </row>
    <row r="106" spans="2:4">
      <c r="B106" s="14" t="s">
        <v>23</v>
      </c>
      <c r="C106">
        <v>27012</v>
      </c>
      <c r="D106">
        <v>36</v>
      </c>
    </row>
    <row r="107" spans="2:4">
      <c r="B107" s="14" t="s">
        <v>25</v>
      </c>
      <c r="C107">
        <v>7812</v>
      </c>
      <c r="D107">
        <v>12</v>
      </c>
    </row>
    <row r="108" spans="2:4">
      <c r="B108" s="14" t="s">
        <v>26</v>
      </c>
      <c r="C108">
        <v>4921</v>
      </c>
      <c r="D108">
        <v>7</v>
      </c>
    </row>
    <row r="109" spans="2:4">
      <c r="B109" s="14" t="s">
        <v>28</v>
      </c>
      <c r="C109">
        <v>7040</v>
      </c>
      <c r="D109">
        <v>8</v>
      </c>
    </row>
    <row r="110" spans="2:4">
      <c r="B110" s="14" t="s">
        <v>30</v>
      </c>
      <c r="C110">
        <v>12112</v>
      </c>
      <c r="D110">
        <v>16</v>
      </c>
    </row>
    <row r="111" spans="2:4">
      <c r="B111" s="14" t="s">
        <v>32</v>
      </c>
      <c r="C111">
        <v>6230</v>
      </c>
      <c r="D111">
        <v>7</v>
      </c>
    </row>
    <row r="112" spans="2:4">
      <c r="B112" s="14" t="s">
        <v>36</v>
      </c>
      <c r="C112">
        <v>3480</v>
      </c>
      <c r="D112">
        <v>6</v>
      </c>
    </row>
    <row r="113" spans="2:11">
      <c r="B113" s="14" t="s">
        <v>40</v>
      </c>
      <c r="C113">
        <v>6480</v>
      </c>
      <c r="D113">
        <v>12</v>
      </c>
    </row>
    <row r="114" spans="2:11">
      <c r="B114" s="14" t="s">
        <v>43</v>
      </c>
      <c r="C114">
        <v>27675</v>
      </c>
      <c r="D114">
        <v>9</v>
      </c>
    </row>
    <row r="115" spans="2:11">
      <c r="B115" s="14" t="s">
        <v>45</v>
      </c>
      <c r="C115">
        <v>40965</v>
      </c>
      <c r="D115">
        <v>15</v>
      </c>
    </row>
    <row r="116" spans="2:11">
      <c r="B116" s="14" t="s">
        <v>46</v>
      </c>
      <c r="C116">
        <v>14920</v>
      </c>
      <c r="D116">
        <v>4</v>
      </c>
    </row>
    <row r="117" spans="2:11">
      <c r="B117" s="14" t="s">
        <v>48</v>
      </c>
      <c r="C117">
        <v>56290</v>
      </c>
      <c r="D117">
        <v>13</v>
      </c>
    </row>
    <row r="118" spans="2:11">
      <c r="B118" s="14" t="s">
        <v>52</v>
      </c>
      <c r="C118">
        <v>39532.5</v>
      </c>
      <c r="D118">
        <v>37.650000000000006</v>
      </c>
    </row>
    <row r="119" spans="2:11">
      <c r="B119" s="14" t="s">
        <v>61</v>
      </c>
      <c r="C119">
        <v>328929.5</v>
      </c>
      <c r="D119">
        <v>211.65</v>
      </c>
    </row>
    <row r="120" spans="2:11" ht="17.399999999999999" customHeight="1"/>
    <row r="123" spans="2:11" ht="21">
      <c r="B123" s="2" t="s">
        <v>73</v>
      </c>
      <c r="C123" s="2"/>
      <c r="D123" s="2"/>
      <c r="E123" s="2"/>
      <c r="F123" s="2"/>
      <c r="G123" s="2"/>
    </row>
    <row r="126" spans="2:11" ht="15" thickBot="1"/>
    <row r="127" spans="2:11" ht="29.4" thickBot="1">
      <c r="B127" s="15" t="s">
        <v>2</v>
      </c>
      <c r="C127" s="16" t="s">
        <v>3</v>
      </c>
      <c r="D127" s="16" t="s">
        <v>4</v>
      </c>
      <c r="E127" s="16" t="s">
        <v>5</v>
      </c>
      <c r="F127" s="16" t="s">
        <v>6</v>
      </c>
      <c r="G127" s="16" t="s">
        <v>74</v>
      </c>
      <c r="H127" s="16" t="s">
        <v>75</v>
      </c>
      <c r="I127" s="17" t="s">
        <v>76</v>
      </c>
      <c r="J127" s="17" t="s">
        <v>77</v>
      </c>
      <c r="K127" s="18" t="s">
        <v>78</v>
      </c>
    </row>
    <row r="128" spans="2:11" ht="29.4" thickBot="1">
      <c r="B128" s="19" t="s">
        <v>48</v>
      </c>
      <c r="C128" s="19" t="s">
        <v>49</v>
      </c>
      <c r="D128" s="19">
        <v>4330</v>
      </c>
      <c r="E128" s="19">
        <v>5450</v>
      </c>
      <c r="F128" s="19">
        <v>1120</v>
      </c>
      <c r="G128" s="19">
        <v>8</v>
      </c>
      <c r="H128" s="19">
        <v>8960</v>
      </c>
      <c r="I128" s="20">
        <f>H128/54979.5</f>
        <v>0.16296983421093317</v>
      </c>
      <c r="J128" s="20">
        <f>I128</f>
        <v>0.16296983421093317</v>
      </c>
      <c r="K128" s="21" t="str">
        <f>IF(J128&lt;=0.8,"A", IF(J128&lt;=0.9,"B","C"))</f>
        <v>A</v>
      </c>
    </row>
    <row r="129" spans="2:11" ht="58.2" thickBot="1">
      <c r="B129" s="19" t="s">
        <v>52</v>
      </c>
      <c r="C129" s="19" t="s">
        <v>53</v>
      </c>
      <c r="D129" s="19">
        <v>1050</v>
      </c>
      <c r="E129" s="19">
        <v>1200</v>
      </c>
      <c r="F129" s="19">
        <v>150</v>
      </c>
      <c r="G129" s="19">
        <v>52.31</v>
      </c>
      <c r="H129" s="19">
        <v>7846.5</v>
      </c>
      <c r="I129" s="20">
        <f t="shared" ref="I129:I148" si="2">H129/54979.5</f>
        <v>0.14271683081875972</v>
      </c>
      <c r="J129" s="20">
        <f>J128+I129</f>
        <v>0.30568666502969288</v>
      </c>
      <c r="K129" s="21" t="str">
        <f t="shared" ref="K129:K148" si="3">IF(J129&lt;=0.8,"A", IF(J129&lt;=0.9,"B","C"))</f>
        <v>A</v>
      </c>
    </row>
    <row r="130" spans="2:11" ht="29.4" thickBot="1">
      <c r="B130" s="19" t="s">
        <v>43</v>
      </c>
      <c r="C130" s="19" t="s">
        <v>44</v>
      </c>
      <c r="D130" s="19">
        <v>3075</v>
      </c>
      <c r="E130" s="19">
        <v>3600</v>
      </c>
      <c r="F130" s="19">
        <v>525</v>
      </c>
      <c r="G130" s="19">
        <v>14</v>
      </c>
      <c r="H130" s="19">
        <v>7350</v>
      </c>
      <c r="I130" s="20">
        <f t="shared" si="2"/>
        <v>0.13368619212615612</v>
      </c>
      <c r="J130" s="20">
        <f t="shared" ref="J130:J148" si="4">J129+I130</f>
        <v>0.43937285715584901</v>
      </c>
      <c r="K130" s="21" t="str">
        <f t="shared" si="3"/>
        <v>A</v>
      </c>
    </row>
    <row r="131" spans="2:11" ht="29.4" thickBot="1">
      <c r="B131" s="19" t="s">
        <v>45</v>
      </c>
      <c r="C131" s="19" t="s">
        <v>17</v>
      </c>
      <c r="D131" s="19">
        <v>2731</v>
      </c>
      <c r="E131" s="19">
        <v>3225</v>
      </c>
      <c r="F131" s="19">
        <v>494</v>
      </c>
      <c r="G131" s="19">
        <v>14</v>
      </c>
      <c r="H131" s="19">
        <v>6916</v>
      </c>
      <c r="I131" s="20">
        <f t="shared" si="2"/>
        <v>0.12579234078156404</v>
      </c>
      <c r="J131" s="20">
        <f t="shared" si="4"/>
        <v>0.56516519793741304</v>
      </c>
      <c r="K131" s="21" t="str">
        <f t="shared" si="3"/>
        <v>A</v>
      </c>
    </row>
    <row r="132" spans="2:11" ht="29.4" thickBot="1">
      <c r="B132" s="19" t="s">
        <v>46</v>
      </c>
      <c r="C132" s="19" t="s">
        <v>47</v>
      </c>
      <c r="D132" s="19">
        <v>3730</v>
      </c>
      <c r="E132" s="19">
        <v>4540</v>
      </c>
      <c r="F132" s="19">
        <v>810</v>
      </c>
      <c r="G132" s="19">
        <v>5</v>
      </c>
      <c r="H132" s="19">
        <v>4050</v>
      </c>
      <c r="I132" s="20">
        <f t="shared" si="2"/>
        <v>7.3663820151147252E-2</v>
      </c>
      <c r="J132" s="20">
        <f t="shared" si="4"/>
        <v>0.6388290180885603</v>
      </c>
      <c r="K132" s="21" t="str">
        <f t="shared" si="3"/>
        <v>A</v>
      </c>
    </row>
    <row r="133" spans="2:11" ht="29.4" thickBot="1">
      <c r="B133" s="19" t="s">
        <v>14</v>
      </c>
      <c r="C133" s="19" t="s">
        <v>15</v>
      </c>
      <c r="D133" s="19">
        <v>3560</v>
      </c>
      <c r="E133" s="19">
        <v>4525</v>
      </c>
      <c r="F133" s="19">
        <v>965</v>
      </c>
      <c r="G133" s="19">
        <v>4</v>
      </c>
      <c r="H133" s="19">
        <v>3860</v>
      </c>
      <c r="I133" s="20">
        <f t="shared" si="2"/>
        <v>7.0207986613192191E-2</v>
      </c>
      <c r="J133" s="20">
        <f t="shared" si="4"/>
        <v>0.70903700470175246</v>
      </c>
      <c r="K133" s="21" t="str">
        <f t="shared" si="3"/>
        <v>A</v>
      </c>
    </row>
    <row r="134" spans="2:11" ht="15" thickBot="1">
      <c r="B134" s="19" t="s">
        <v>23</v>
      </c>
      <c r="C134" s="19" t="s">
        <v>23</v>
      </c>
      <c r="D134" s="19">
        <v>800</v>
      </c>
      <c r="E134" s="19">
        <v>950</v>
      </c>
      <c r="F134" s="19">
        <v>150</v>
      </c>
      <c r="G134" s="19">
        <v>18</v>
      </c>
      <c r="H134" s="19">
        <v>2700</v>
      </c>
      <c r="I134" s="20">
        <f t="shared" si="2"/>
        <v>4.9109213434098166E-2</v>
      </c>
      <c r="J134" s="20">
        <f t="shared" si="4"/>
        <v>0.75814621813585059</v>
      </c>
      <c r="K134" s="21" t="str">
        <f t="shared" si="3"/>
        <v>A</v>
      </c>
    </row>
    <row r="135" spans="2:11" ht="29.4" customHeight="1" thickBot="1">
      <c r="B135" s="19" t="s">
        <v>40</v>
      </c>
      <c r="C135" s="19" t="s">
        <v>41</v>
      </c>
      <c r="D135" s="19">
        <v>540</v>
      </c>
      <c r="E135" s="19">
        <v>623</v>
      </c>
      <c r="F135" s="19">
        <v>83</v>
      </c>
      <c r="G135" s="19">
        <v>28</v>
      </c>
      <c r="H135" s="19">
        <v>2324</v>
      </c>
      <c r="I135" s="20">
        <f t="shared" si="2"/>
        <v>4.227030074846079E-2</v>
      </c>
      <c r="J135" s="20">
        <f t="shared" si="4"/>
        <v>0.80041651888431142</v>
      </c>
      <c r="K135" s="21" t="str">
        <f t="shared" si="3"/>
        <v>B</v>
      </c>
    </row>
    <row r="136" spans="2:11" ht="29.4" thickBot="1">
      <c r="B136" s="19" t="s">
        <v>18</v>
      </c>
      <c r="C136" s="19" t="s">
        <v>19</v>
      </c>
      <c r="D136" s="19">
        <v>1410</v>
      </c>
      <c r="E136" s="19">
        <v>1650</v>
      </c>
      <c r="F136" s="19">
        <v>240</v>
      </c>
      <c r="G136" s="19">
        <v>7</v>
      </c>
      <c r="H136" s="19">
        <v>1680</v>
      </c>
      <c r="I136" s="20">
        <f t="shared" si="2"/>
        <v>3.0556843914549967E-2</v>
      </c>
      <c r="J136" s="20">
        <f t="shared" si="4"/>
        <v>0.83097336279886136</v>
      </c>
      <c r="K136" s="21" t="str">
        <f t="shared" si="3"/>
        <v>B</v>
      </c>
    </row>
    <row r="137" spans="2:11" ht="29.4" thickBot="1">
      <c r="B137" s="19" t="s">
        <v>20</v>
      </c>
      <c r="C137" s="19" t="s">
        <v>21</v>
      </c>
      <c r="D137" s="19">
        <v>2720</v>
      </c>
      <c r="E137" s="19">
        <v>3120</v>
      </c>
      <c r="F137" s="19">
        <v>400</v>
      </c>
      <c r="G137" s="19">
        <v>3</v>
      </c>
      <c r="H137" s="19">
        <v>1360</v>
      </c>
      <c r="I137" s="20">
        <f t="shared" si="2"/>
        <v>2.4736492692730927E-2</v>
      </c>
      <c r="J137" s="20">
        <f t="shared" si="4"/>
        <v>0.85570985549159229</v>
      </c>
      <c r="K137" s="21" t="str">
        <f t="shared" si="3"/>
        <v>B</v>
      </c>
    </row>
    <row r="138" spans="2:11" ht="29.4" thickBot="1">
      <c r="B138" s="19" t="s">
        <v>34</v>
      </c>
      <c r="C138" s="19" t="s">
        <v>35</v>
      </c>
      <c r="D138" s="19">
        <v>605</v>
      </c>
      <c r="E138" s="19">
        <v>700</v>
      </c>
      <c r="F138" s="19">
        <v>95</v>
      </c>
      <c r="G138" s="19">
        <v>12</v>
      </c>
      <c r="H138" s="19">
        <v>1200</v>
      </c>
      <c r="I138" s="20">
        <f t="shared" si="2"/>
        <v>2.1826317081821405E-2</v>
      </c>
      <c r="J138" s="20">
        <f t="shared" si="4"/>
        <v>0.87753617257341365</v>
      </c>
      <c r="K138" s="21" t="str">
        <f t="shared" si="3"/>
        <v>B</v>
      </c>
    </row>
    <row r="139" spans="2:11" ht="29.4" thickBot="1">
      <c r="B139" s="19" t="s">
        <v>30</v>
      </c>
      <c r="C139" s="19" t="s">
        <v>31</v>
      </c>
      <c r="D139" s="19">
        <v>757</v>
      </c>
      <c r="E139" s="19">
        <v>850</v>
      </c>
      <c r="F139" s="19">
        <v>93</v>
      </c>
      <c r="G139" s="19">
        <v>12</v>
      </c>
      <c r="H139" s="19">
        <v>1140</v>
      </c>
      <c r="I139" s="20">
        <f t="shared" si="2"/>
        <v>2.0735001227730337E-2</v>
      </c>
      <c r="J139" s="20">
        <f t="shared" si="4"/>
        <v>0.89827117380114396</v>
      </c>
      <c r="K139" s="21" t="str">
        <f t="shared" si="3"/>
        <v>B</v>
      </c>
    </row>
    <row r="140" spans="2:11" ht="29.4" thickBot="1">
      <c r="B140" s="19" t="s">
        <v>9</v>
      </c>
      <c r="C140" s="19" t="s">
        <v>10</v>
      </c>
      <c r="D140" s="19">
        <v>2480</v>
      </c>
      <c r="E140" s="19">
        <v>2923</v>
      </c>
      <c r="F140" s="19">
        <v>443</v>
      </c>
      <c r="G140" s="19">
        <v>2</v>
      </c>
      <c r="H140" s="19">
        <v>1116</v>
      </c>
      <c r="I140" s="20">
        <f t="shared" si="2"/>
        <v>2.0298474886093907E-2</v>
      </c>
      <c r="J140" s="20">
        <f t="shared" si="4"/>
        <v>0.91856964868723789</v>
      </c>
      <c r="K140" s="21" t="str">
        <f t="shared" si="3"/>
        <v>C</v>
      </c>
    </row>
    <row r="141" spans="2:11" ht="29.4" thickBot="1">
      <c r="B141" s="19" t="s">
        <v>32</v>
      </c>
      <c r="C141" s="19" t="s">
        <v>33</v>
      </c>
      <c r="D141" s="19">
        <v>890</v>
      </c>
      <c r="E141" s="19">
        <v>985</v>
      </c>
      <c r="F141" s="19">
        <v>95</v>
      </c>
      <c r="G141" s="19">
        <v>9</v>
      </c>
      <c r="H141" s="19">
        <v>886</v>
      </c>
      <c r="I141" s="20">
        <f t="shared" si="2"/>
        <v>1.611509744541147E-2</v>
      </c>
      <c r="J141" s="20">
        <f t="shared" si="4"/>
        <v>0.9346847461326494</v>
      </c>
      <c r="K141" s="21" t="str">
        <f t="shared" si="3"/>
        <v>C</v>
      </c>
    </row>
    <row r="142" spans="2:11" ht="29.4" thickBot="1">
      <c r="B142" s="19" t="s">
        <v>38</v>
      </c>
      <c r="C142" s="19" t="s">
        <v>39</v>
      </c>
      <c r="D142" s="19">
        <v>625</v>
      </c>
      <c r="E142" s="19">
        <v>710</v>
      </c>
      <c r="F142" s="19">
        <v>85</v>
      </c>
      <c r="G142" s="19">
        <v>10</v>
      </c>
      <c r="H142" s="19">
        <v>855</v>
      </c>
      <c r="I142" s="20">
        <f t="shared" si="2"/>
        <v>1.5551250920797751E-2</v>
      </c>
      <c r="J142" s="20">
        <f t="shared" si="4"/>
        <v>0.95023599705344719</v>
      </c>
      <c r="K142" s="21" t="str">
        <f t="shared" si="3"/>
        <v>C</v>
      </c>
    </row>
    <row r="143" spans="2:11" ht="29.4" thickBot="1">
      <c r="B143" s="19" t="s">
        <v>28</v>
      </c>
      <c r="C143" s="19" t="s">
        <v>29</v>
      </c>
      <c r="D143" s="19">
        <v>880</v>
      </c>
      <c r="E143" s="19">
        <v>1015</v>
      </c>
      <c r="F143" s="19">
        <v>135</v>
      </c>
      <c r="G143" s="19">
        <v>6</v>
      </c>
      <c r="H143" s="19">
        <v>810</v>
      </c>
      <c r="I143" s="20">
        <f t="shared" si="2"/>
        <v>1.473276403022945E-2</v>
      </c>
      <c r="J143" s="20">
        <f t="shared" si="4"/>
        <v>0.96496876108367668</v>
      </c>
      <c r="K143" s="21" t="str">
        <f t="shared" si="3"/>
        <v>C</v>
      </c>
    </row>
    <row r="144" spans="2:11" ht="15" thickBot="1">
      <c r="B144" s="19" t="s">
        <v>25</v>
      </c>
      <c r="C144" s="19" t="s">
        <v>25</v>
      </c>
      <c r="D144" s="19">
        <v>651</v>
      </c>
      <c r="E144" s="19">
        <v>725</v>
      </c>
      <c r="F144" s="19">
        <v>74</v>
      </c>
      <c r="G144" s="19">
        <v>10</v>
      </c>
      <c r="H144" s="19">
        <v>740</v>
      </c>
      <c r="I144" s="20">
        <f t="shared" si="2"/>
        <v>1.3459562200456535E-2</v>
      </c>
      <c r="J144" s="20">
        <f t="shared" si="4"/>
        <v>0.97842832328413321</v>
      </c>
      <c r="K144" s="21" t="str">
        <f t="shared" si="3"/>
        <v>C</v>
      </c>
    </row>
    <row r="145" spans="2:13" ht="29.4" thickBot="1">
      <c r="B145" s="19" t="s">
        <v>50</v>
      </c>
      <c r="C145" s="19" t="s">
        <v>51</v>
      </c>
      <c r="D145" s="19">
        <v>2686</v>
      </c>
      <c r="E145" s="19">
        <v>2950</v>
      </c>
      <c r="F145" s="19">
        <v>264</v>
      </c>
      <c r="G145" s="19">
        <v>2</v>
      </c>
      <c r="H145" s="19">
        <v>528</v>
      </c>
      <c r="I145" s="20">
        <f t="shared" si="2"/>
        <v>9.6035795160014179E-3</v>
      </c>
      <c r="J145" s="20">
        <f t="shared" si="4"/>
        <v>0.98803190280013464</v>
      </c>
      <c r="K145" s="21" t="str">
        <f t="shared" si="3"/>
        <v>C</v>
      </c>
    </row>
    <row r="146" spans="2:13" ht="29.4" thickBot="1">
      <c r="B146" s="19" t="s">
        <v>36</v>
      </c>
      <c r="C146" s="19" t="s">
        <v>37</v>
      </c>
      <c r="D146" s="19">
        <v>580</v>
      </c>
      <c r="E146" s="19">
        <v>660</v>
      </c>
      <c r="F146" s="19">
        <v>80</v>
      </c>
      <c r="G146" s="19">
        <v>4</v>
      </c>
      <c r="H146" s="19">
        <v>320</v>
      </c>
      <c r="I146" s="20">
        <f t="shared" si="2"/>
        <v>5.820351221819042E-3</v>
      </c>
      <c r="J146" s="20">
        <f t="shared" si="4"/>
        <v>0.99385225402195365</v>
      </c>
      <c r="K146" s="21" t="str">
        <f t="shared" si="3"/>
        <v>C</v>
      </c>
    </row>
    <row r="147" spans="2:13" ht="29.4" thickBot="1">
      <c r="B147" s="19" t="s">
        <v>26</v>
      </c>
      <c r="C147" s="19" t="s">
        <v>27</v>
      </c>
      <c r="D147" s="19">
        <v>703</v>
      </c>
      <c r="E147" s="19">
        <v>750</v>
      </c>
      <c r="F147" s="19">
        <v>47</v>
      </c>
      <c r="G147" s="19">
        <v>4</v>
      </c>
      <c r="H147" s="19">
        <v>188</v>
      </c>
      <c r="I147" s="20">
        <f t="shared" si="2"/>
        <v>3.419456342818687E-3</v>
      </c>
      <c r="J147" s="20">
        <f t="shared" si="4"/>
        <v>0.99727171036477236</v>
      </c>
      <c r="K147" s="21" t="str">
        <f t="shared" si="3"/>
        <v>C</v>
      </c>
    </row>
    <row r="148" spans="2:13" ht="29.4" thickBot="1">
      <c r="B148" s="19" t="s">
        <v>12</v>
      </c>
      <c r="C148" s="19" t="s">
        <v>13</v>
      </c>
      <c r="D148" s="19">
        <v>1275</v>
      </c>
      <c r="E148" s="19">
        <v>1425</v>
      </c>
      <c r="F148" s="19">
        <v>150</v>
      </c>
      <c r="G148" s="19">
        <v>1</v>
      </c>
      <c r="H148" s="19">
        <v>150</v>
      </c>
      <c r="I148" s="20">
        <f t="shared" si="2"/>
        <v>2.7282896352276756E-3</v>
      </c>
      <c r="J148" s="20">
        <f t="shared" si="4"/>
        <v>1</v>
      </c>
      <c r="K148" s="21" t="str">
        <f t="shared" si="3"/>
        <v>C</v>
      </c>
    </row>
    <row r="152" spans="2:13" ht="21">
      <c r="B152" s="2" t="s">
        <v>79</v>
      </c>
      <c r="C152" s="2"/>
      <c r="D152" s="2"/>
      <c r="E152" s="2"/>
      <c r="F152" s="2"/>
      <c r="G152" s="2"/>
    </row>
    <row r="155" spans="2:13">
      <c r="B155" s="22" t="s">
        <v>2</v>
      </c>
      <c r="C155" s="22" t="s">
        <v>75</v>
      </c>
      <c r="D155" s="23" t="s">
        <v>80</v>
      </c>
      <c r="E155" s="23" t="s">
        <v>81</v>
      </c>
      <c r="F155" s="23" t="s">
        <v>82</v>
      </c>
      <c r="G155" s="23" t="s">
        <v>83</v>
      </c>
      <c r="H155" s="23" t="s">
        <v>84</v>
      </c>
      <c r="I155" s="23" t="s">
        <v>85</v>
      </c>
      <c r="J155" s="23" t="s">
        <v>86</v>
      </c>
      <c r="K155" s="23" t="s">
        <v>87</v>
      </c>
      <c r="L155" s="23" t="s">
        <v>77</v>
      </c>
      <c r="M155" s="24" t="s">
        <v>88</v>
      </c>
    </row>
    <row r="156" spans="2:13" ht="22.8" customHeight="1">
      <c r="B156" s="25" t="s">
        <v>43</v>
      </c>
      <c r="C156" s="25">
        <v>7350</v>
      </c>
      <c r="D156" s="23">
        <v>6</v>
      </c>
      <c r="E156" s="23">
        <v>14</v>
      </c>
      <c r="F156" s="23">
        <f t="shared" ref="F156:F176" si="5">E156/4</f>
        <v>3.5</v>
      </c>
      <c r="G156" s="23">
        <f t="shared" ref="G156:G176" si="6">_xlfn.STDEV.P(B181:E181) / F156</f>
        <v>0.14285714285714285</v>
      </c>
      <c r="H156" s="23">
        <f t="shared" ref="H156:H176" si="7">(C156 - MIN($C$156:$C$176)) / (MAX($C$156:$C$176) - MIN($C$156:$C$176))</f>
        <v>0.81725312145289442</v>
      </c>
      <c r="I156" s="23">
        <f t="shared" ref="I156:I176" si="8">(D156 - MIN($D$156:$D$176)) / (MAX($D$156:$D$176) - MIN($D$156:$D$176))</f>
        <v>1</v>
      </c>
      <c r="J156" s="23">
        <f t="shared" ref="J156:J176" si="9">1-(G156 - MIN($G$156:$G$176)) / (MAX($G$156:$G$176) - MIN($G$156:$G$176))</f>
        <v>0.99955721991143676</v>
      </c>
      <c r="K156" s="23">
        <f t="shared" ref="K156:K176" si="10">0.4*H156 + 0.3*I156 + 0.3*J156</f>
        <v>0.9267684145545888</v>
      </c>
      <c r="L156" s="23">
        <f>K156 / SUM($K$156:$K$176)</f>
        <v>8.3777068988365122E-2</v>
      </c>
      <c r="M156" s="24" t="str">
        <f>IF(L156&lt;=0.7,"A",IF(L156&lt;=0.9,"B","C"))</f>
        <v>A</v>
      </c>
    </row>
    <row r="157" spans="2:13" ht="13.8" customHeight="1">
      <c r="B157" s="25" t="s">
        <v>48</v>
      </c>
      <c r="C157" s="25">
        <v>8960</v>
      </c>
      <c r="D157" s="23">
        <v>4</v>
      </c>
      <c r="E157" s="23">
        <v>8</v>
      </c>
      <c r="F157" s="23">
        <f t="shared" si="5"/>
        <v>2</v>
      </c>
      <c r="G157" s="23">
        <f t="shared" si="6"/>
        <v>0.21650635094610965</v>
      </c>
      <c r="H157" s="23">
        <f t="shared" si="7"/>
        <v>1</v>
      </c>
      <c r="I157" s="23">
        <f t="shared" si="8"/>
        <v>0.6</v>
      </c>
      <c r="J157" s="23">
        <f t="shared" si="9"/>
        <v>0.99822107065146914</v>
      </c>
      <c r="K157" s="23">
        <f t="shared" si="10"/>
        <v>0.87946632119544077</v>
      </c>
      <c r="L157" s="23">
        <f>SUM($K$156:K157)/SUM($K$156:$K$176)</f>
        <v>0.16327817142844431</v>
      </c>
      <c r="M157" s="24" t="str">
        <f t="shared" ref="M157:M176" si="11">IF(L157&lt;=0.7,"A",IF(L157&lt;=0.9,"B","C"))</f>
        <v>A</v>
      </c>
    </row>
    <row r="158" spans="2:13" ht="23.4" customHeight="1">
      <c r="B158" s="25" t="s">
        <v>45</v>
      </c>
      <c r="C158" s="25">
        <v>6916</v>
      </c>
      <c r="D158" s="23">
        <v>6</v>
      </c>
      <c r="E158" s="23">
        <v>14</v>
      </c>
      <c r="F158" s="23">
        <f t="shared" si="5"/>
        <v>3.5</v>
      </c>
      <c r="G158" s="23">
        <f t="shared" si="6"/>
        <v>0.49487165930539351</v>
      </c>
      <c r="H158" s="23">
        <f t="shared" si="7"/>
        <v>0.76799091940976161</v>
      </c>
      <c r="I158" s="23">
        <f t="shared" si="8"/>
        <v>1</v>
      </c>
      <c r="J158" s="23">
        <f t="shared" si="9"/>
        <v>0.99317094709392029</v>
      </c>
      <c r="K158" s="23">
        <f t="shared" si="10"/>
        <v>0.9051476518920808</v>
      </c>
      <c r="L158" s="23">
        <f>SUM($K$156:K158)/SUM($K$156:$K$176)</f>
        <v>0.24510078869325932</v>
      </c>
      <c r="M158" s="24" t="str">
        <f t="shared" si="11"/>
        <v>A</v>
      </c>
    </row>
    <row r="159" spans="2:13">
      <c r="B159" s="25" t="s">
        <v>52</v>
      </c>
      <c r="C159" s="25">
        <v>7846.5</v>
      </c>
      <c r="D159" s="23">
        <v>5</v>
      </c>
      <c r="E159" s="23">
        <v>52.310000000000009</v>
      </c>
      <c r="F159" s="23">
        <f t="shared" si="5"/>
        <v>13.077500000000002</v>
      </c>
      <c r="G159" s="23">
        <f t="shared" si="6"/>
        <v>0.1902097948970789</v>
      </c>
      <c r="H159" s="23">
        <f t="shared" si="7"/>
        <v>0.87360953461975033</v>
      </c>
      <c r="I159" s="23">
        <f t="shared" si="8"/>
        <v>0.8</v>
      </c>
      <c r="J159" s="23">
        <f t="shared" si="9"/>
        <v>0.99869814467325857</v>
      </c>
      <c r="K159" s="23">
        <f t="shared" si="10"/>
        <v>0.88905325724987772</v>
      </c>
      <c r="L159" s="23">
        <f>SUM($K$156:K159)/SUM($K$156:$K$176)</f>
        <v>0.32546852123273134</v>
      </c>
      <c r="M159" s="24" t="str">
        <f t="shared" si="11"/>
        <v>A</v>
      </c>
    </row>
    <row r="160" spans="2:13">
      <c r="B160" s="25" t="s">
        <v>40</v>
      </c>
      <c r="C160" s="25">
        <v>2324</v>
      </c>
      <c r="D160" s="23">
        <v>6</v>
      </c>
      <c r="E160" s="23">
        <v>28</v>
      </c>
      <c r="F160" s="23">
        <f t="shared" si="5"/>
        <v>7</v>
      </c>
      <c r="G160" s="23">
        <f t="shared" si="6"/>
        <v>0.11845088536983571</v>
      </c>
      <c r="H160" s="23">
        <f t="shared" si="7"/>
        <v>0.24676503972758229</v>
      </c>
      <c r="I160" s="23">
        <f t="shared" si="8"/>
        <v>1</v>
      </c>
      <c r="J160" s="23">
        <f t="shared" si="9"/>
        <v>1</v>
      </c>
      <c r="K160" s="23">
        <f t="shared" si="10"/>
        <v>0.69870601589103298</v>
      </c>
      <c r="L160" s="23">
        <f>SUM($K$156:K160)/SUM($K$156:$K$176)</f>
        <v>0.38862943735439415</v>
      </c>
      <c r="M160" s="24" t="str">
        <f t="shared" si="11"/>
        <v>A</v>
      </c>
    </row>
    <row r="161" spans="2:13">
      <c r="B161" s="25" t="s">
        <v>30</v>
      </c>
      <c r="C161" s="25">
        <v>1140</v>
      </c>
      <c r="D161" s="23">
        <v>5</v>
      </c>
      <c r="E161" s="23">
        <v>12</v>
      </c>
      <c r="F161" s="23">
        <f t="shared" si="5"/>
        <v>3</v>
      </c>
      <c r="G161" s="23">
        <f t="shared" si="6"/>
        <v>1.6583123951776999</v>
      </c>
      <c r="H161" s="23">
        <f t="shared" si="7"/>
        <v>0.11237230419977298</v>
      </c>
      <c r="I161" s="23">
        <f t="shared" si="8"/>
        <v>0.8</v>
      </c>
      <c r="J161" s="23">
        <f t="shared" si="9"/>
        <v>0.97206372111568451</v>
      </c>
      <c r="K161" s="23">
        <f t="shared" si="10"/>
        <v>0.57656803801461454</v>
      </c>
      <c r="L161" s="23">
        <f>SUM($K$156:K161)/SUM($K$156:$K$176)</f>
        <v>0.44074944871715893</v>
      </c>
      <c r="M161" s="24" t="str">
        <f t="shared" si="11"/>
        <v>A</v>
      </c>
    </row>
    <row r="162" spans="2:13">
      <c r="B162" s="25" t="s">
        <v>46</v>
      </c>
      <c r="C162" s="25">
        <v>4050</v>
      </c>
      <c r="D162" s="23">
        <v>3</v>
      </c>
      <c r="E162" s="23">
        <v>5</v>
      </c>
      <c r="F162" s="23">
        <f t="shared" si="5"/>
        <v>1.25</v>
      </c>
      <c r="G162" s="23">
        <f t="shared" si="6"/>
        <v>3.4641016151377548</v>
      </c>
      <c r="H162" s="23">
        <f t="shared" si="7"/>
        <v>0.44267877412031781</v>
      </c>
      <c r="I162" s="23">
        <f t="shared" si="8"/>
        <v>0.4</v>
      </c>
      <c r="J162" s="23">
        <f t="shared" si="9"/>
        <v>0.93930296248006595</v>
      </c>
      <c r="K162" s="23">
        <f t="shared" si="10"/>
        <v>0.57886239839214682</v>
      </c>
      <c r="L162" s="23">
        <f>SUM($K$156:K162)/SUM($K$156:$K$176)</f>
        <v>0.49307686333689066</v>
      </c>
      <c r="M162" s="24" t="str">
        <f t="shared" si="11"/>
        <v>A</v>
      </c>
    </row>
    <row r="163" spans="2:13">
      <c r="B163" s="25" t="s">
        <v>23</v>
      </c>
      <c r="C163" s="25">
        <v>2700</v>
      </c>
      <c r="D163" s="23">
        <v>3</v>
      </c>
      <c r="E163" s="23">
        <v>18</v>
      </c>
      <c r="F163" s="23">
        <f t="shared" si="5"/>
        <v>4.5</v>
      </c>
      <c r="G163" s="23">
        <f t="shared" si="6"/>
        <v>0.27216552697590868</v>
      </c>
      <c r="H163" s="23">
        <f t="shared" si="7"/>
        <v>0.28944381384790013</v>
      </c>
      <c r="I163" s="23">
        <f t="shared" si="8"/>
        <v>0.4</v>
      </c>
      <c r="J163" s="23">
        <f t="shared" si="9"/>
        <v>0.99721129785428198</v>
      </c>
      <c r="K163" s="23">
        <f t="shared" si="10"/>
        <v>0.5349409148954446</v>
      </c>
      <c r="L163" s="23">
        <f>SUM($K$156:K163)/SUM($K$156:$K$176)</f>
        <v>0.54143390834196192</v>
      </c>
      <c r="M163" s="24" t="str">
        <f t="shared" si="11"/>
        <v>A</v>
      </c>
    </row>
    <row r="164" spans="2:13">
      <c r="B164" s="25" t="s">
        <v>18</v>
      </c>
      <c r="C164" s="25">
        <v>1680</v>
      </c>
      <c r="D164" s="23">
        <v>5</v>
      </c>
      <c r="E164" s="23">
        <v>7</v>
      </c>
      <c r="F164" s="23">
        <f t="shared" si="5"/>
        <v>1.75</v>
      </c>
      <c r="G164" s="23">
        <f t="shared" si="6"/>
        <v>0.94760708295868568</v>
      </c>
      <c r="H164" s="23">
        <f t="shared" si="7"/>
        <v>0.17366628830874006</v>
      </c>
      <c r="I164" s="23">
        <f t="shared" si="8"/>
        <v>0.8</v>
      </c>
      <c r="J164" s="23">
        <f t="shared" si="9"/>
        <v>0.9849573882930609</v>
      </c>
      <c r="K164" s="23">
        <f t="shared" si="10"/>
        <v>0.60495373181141421</v>
      </c>
      <c r="L164" s="23">
        <f>SUM($K$156:K164)/SUM($K$156:$K$176)</f>
        <v>0.59611990079574184</v>
      </c>
      <c r="M164" s="24" t="str">
        <f t="shared" si="11"/>
        <v>A</v>
      </c>
    </row>
    <row r="165" spans="2:13">
      <c r="B165" s="25" t="s">
        <v>20</v>
      </c>
      <c r="C165" s="25">
        <v>1360</v>
      </c>
      <c r="D165" s="23">
        <v>3</v>
      </c>
      <c r="E165" s="23">
        <v>3</v>
      </c>
      <c r="F165" s="23">
        <f t="shared" si="5"/>
        <v>0.75</v>
      </c>
      <c r="G165" s="23">
        <f t="shared" si="6"/>
        <v>2.1081851067789197</v>
      </c>
      <c r="H165" s="23">
        <f t="shared" si="7"/>
        <v>0.13734392735527809</v>
      </c>
      <c r="I165" s="23">
        <f t="shared" si="8"/>
        <v>0.4</v>
      </c>
      <c r="J165" s="23">
        <f t="shared" si="9"/>
        <v>0.96390209784392478</v>
      </c>
      <c r="K165" s="23">
        <f t="shared" si="10"/>
        <v>0.46410820029528865</v>
      </c>
      <c r="L165" s="23">
        <f>SUM($K$156:K165)/SUM($K$156:$K$176)</f>
        <v>0.63807388207475546</v>
      </c>
      <c r="M165" s="24" t="str">
        <f t="shared" si="11"/>
        <v>A</v>
      </c>
    </row>
    <row r="166" spans="2:13">
      <c r="B166" s="25" t="s">
        <v>34</v>
      </c>
      <c r="C166" s="25">
        <v>1200</v>
      </c>
      <c r="D166" s="23">
        <v>3</v>
      </c>
      <c r="E166" s="23">
        <v>12</v>
      </c>
      <c r="F166" s="23">
        <f t="shared" si="5"/>
        <v>3</v>
      </c>
      <c r="G166" s="23">
        <f t="shared" si="6"/>
        <v>0.82915619758884995</v>
      </c>
      <c r="H166" s="23">
        <f t="shared" si="7"/>
        <v>0.1191827468785471</v>
      </c>
      <c r="I166" s="23">
        <f t="shared" si="8"/>
        <v>0.4</v>
      </c>
      <c r="J166" s="23">
        <f t="shared" si="9"/>
        <v>0.98710633282262361</v>
      </c>
      <c r="K166" s="23">
        <f t="shared" si="10"/>
        <v>0.4638049985982059</v>
      </c>
      <c r="L166" s="23">
        <f>SUM($K$156:K166)/SUM($K$156:$K$176)</f>
        <v>0.68000045483499028</v>
      </c>
      <c r="M166" s="24" t="str">
        <f t="shared" si="11"/>
        <v>A</v>
      </c>
    </row>
    <row r="167" spans="2:13">
      <c r="B167" s="25" t="s">
        <v>32</v>
      </c>
      <c r="C167" s="25">
        <v>886</v>
      </c>
      <c r="D167" s="23">
        <v>3</v>
      </c>
      <c r="E167" s="23">
        <v>9</v>
      </c>
      <c r="F167" s="23">
        <f t="shared" si="5"/>
        <v>2.25</v>
      </c>
      <c r="G167" s="23">
        <f t="shared" si="6"/>
        <v>1.4740554623801776</v>
      </c>
      <c r="H167" s="23">
        <f t="shared" si="7"/>
        <v>8.3541430192962549E-2</v>
      </c>
      <c r="I167" s="23">
        <f t="shared" si="8"/>
        <v>0.4</v>
      </c>
      <c r="J167" s="23">
        <f t="shared" si="9"/>
        <v>0.97540652371722647</v>
      </c>
      <c r="K167" s="23">
        <f t="shared" si="10"/>
        <v>0.44603852919235293</v>
      </c>
      <c r="L167" s="23">
        <f>SUM($K$156:K167)/SUM($K$156:$K$176)</f>
        <v>0.72032099235522484</v>
      </c>
      <c r="M167" s="24" t="str">
        <f t="shared" si="11"/>
        <v>B</v>
      </c>
    </row>
    <row r="168" spans="2:13">
      <c r="B168" s="25" t="s">
        <v>9</v>
      </c>
      <c r="C168" s="25">
        <v>1116</v>
      </c>
      <c r="D168" s="23">
        <v>2</v>
      </c>
      <c r="E168" s="23">
        <v>2</v>
      </c>
      <c r="F168" s="23">
        <f t="shared" si="5"/>
        <v>0.5</v>
      </c>
      <c r="G168" s="23">
        <f t="shared" si="6"/>
        <v>3.4641016151377544</v>
      </c>
      <c r="H168" s="23">
        <f t="shared" si="7"/>
        <v>0.10964812712826334</v>
      </c>
      <c r="I168" s="23">
        <f t="shared" si="8"/>
        <v>0.2</v>
      </c>
      <c r="J168" s="23">
        <f t="shared" si="9"/>
        <v>0.93930296248006595</v>
      </c>
      <c r="K168" s="23">
        <f t="shared" si="10"/>
        <v>0.38565013959532513</v>
      </c>
      <c r="L168" s="23">
        <f>SUM($K$156:K168)/SUM($K$156:$K$176)</f>
        <v>0.75518260162335893</v>
      </c>
      <c r="M168" s="24" t="str">
        <f t="shared" si="11"/>
        <v>B</v>
      </c>
    </row>
    <row r="169" spans="2:13">
      <c r="B169" s="25" t="s">
        <v>38</v>
      </c>
      <c r="C169" s="25">
        <v>855</v>
      </c>
      <c r="D169" s="23">
        <v>3</v>
      </c>
      <c r="E169" s="23">
        <v>16</v>
      </c>
      <c r="F169" s="23">
        <f t="shared" si="5"/>
        <v>4</v>
      </c>
      <c r="G169" s="23">
        <f t="shared" si="6"/>
        <v>1.2247448713915889</v>
      </c>
      <c r="H169" s="23">
        <f t="shared" si="7"/>
        <v>8.0022701475595912E-2</v>
      </c>
      <c r="I169" s="23">
        <f t="shared" si="8"/>
        <v>0.4</v>
      </c>
      <c r="J169" s="23">
        <f t="shared" si="9"/>
        <v>0.97992953449079911</v>
      </c>
      <c r="K169" s="23">
        <f t="shared" si="10"/>
        <v>0.44598794093747812</v>
      </c>
      <c r="L169" s="23">
        <f>SUM($K$156:K169)/SUM($K$156:$K$176)</f>
        <v>0.79549856611795722</v>
      </c>
      <c r="M169" s="24" t="str">
        <f t="shared" si="11"/>
        <v>B</v>
      </c>
    </row>
    <row r="170" spans="2:13">
      <c r="B170" s="25" t="s">
        <v>50</v>
      </c>
      <c r="C170" s="25">
        <v>528</v>
      </c>
      <c r="D170" s="23">
        <v>2</v>
      </c>
      <c r="E170" s="23">
        <v>2</v>
      </c>
      <c r="F170" s="23">
        <f t="shared" si="5"/>
        <v>0.5</v>
      </c>
      <c r="G170" s="23">
        <f t="shared" si="6"/>
        <v>10</v>
      </c>
      <c r="H170" s="23">
        <f t="shared" si="7"/>
        <v>4.2905788876276961E-2</v>
      </c>
      <c r="I170" s="23">
        <f t="shared" si="8"/>
        <v>0.2</v>
      </c>
      <c r="J170" s="23">
        <f t="shared" si="9"/>
        <v>0.82072822126074585</v>
      </c>
      <c r="K170" s="23">
        <f t="shared" si="10"/>
        <v>0.32338078192873454</v>
      </c>
      <c r="L170" s="23">
        <f>SUM($K$156:K170)/SUM($K$156:$K$176)</f>
        <v>0.82473121329462618</v>
      </c>
      <c r="M170" s="24" t="str">
        <f t="shared" si="11"/>
        <v>B</v>
      </c>
    </row>
    <row r="171" spans="2:13">
      <c r="B171" s="25" t="s">
        <v>28</v>
      </c>
      <c r="C171" s="25">
        <v>810</v>
      </c>
      <c r="D171" s="23">
        <v>2</v>
      </c>
      <c r="E171" s="23">
        <v>6</v>
      </c>
      <c r="F171" s="23">
        <f t="shared" si="5"/>
        <v>1.5</v>
      </c>
      <c r="G171" s="23">
        <f t="shared" si="6"/>
        <v>1.3743685418725535</v>
      </c>
      <c r="H171" s="23">
        <f t="shared" si="7"/>
        <v>7.4914869466515321E-2</v>
      </c>
      <c r="I171" s="23">
        <f t="shared" si="8"/>
        <v>0.2</v>
      </c>
      <c r="J171" s="23">
        <f t="shared" si="9"/>
        <v>0.97721505103911999</v>
      </c>
      <c r="K171" s="23">
        <f t="shared" si="10"/>
        <v>0.38313046309834209</v>
      </c>
      <c r="L171" s="23">
        <f>SUM($K$156:K171)/SUM($K$156:$K$176)</f>
        <v>0.85936505140828301</v>
      </c>
      <c r="M171" s="24" t="str">
        <f t="shared" si="11"/>
        <v>B</v>
      </c>
    </row>
    <row r="172" spans="2:13">
      <c r="B172" s="25" t="s">
        <v>14</v>
      </c>
      <c r="C172" s="25">
        <v>3860</v>
      </c>
      <c r="D172" s="23">
        <v>2</v>
      </c>
      <c r="E172" s="23">
        <v>4</v>
      </c>
      <c r="F172" s="23">
        <f t="shared" si="5"/>
        <v>1</v>
      </c>
      <c r="G172" s="23">
        <f t="shared" si="6"/>
        <v>3.5</v>
      </c>
      <c r="H172" s="23">
        <f t="shared" si="7"/>
        <v>0.42111237230419979</v>
      </c>
      <c r="I172" s="23">
        <f t="shared" si="8"/>
        <v>0.2</v>
      </c>
      <c r="J172" s="23">
        <f t="shared" si="9"/>
        <v>0.93865169138547688</v>
      </c>
      <c r="K172" s="23">
        <f t="shared" si="10"/>
        <v>0.51004045633732298</v>
      </c>
      <c r="L172" s="23">
        <f>SUM($K$156:K172)/SUM($K$156:$K$176)</f>
        <v>0.90547117007436351</v>
      </c>
      <c r="M172" s="24" t="str">
        <f t="shared" si="11"/>
        <v>C</v>
      </c>
    </row>
    <row r="173" spans="2:13">
      <c r="B173" s="25" t="s">
        <v>26</v>
      </c>
      <c r="C173" s="25">
        <v>188</v>
      </c>
      <c r="D173" s="23">
        <v>2</v>
      </c>
      <c r="E173" s="23">
        <v>4</v>
      </c>
      <c r="F173" s="23">
        <f t="shared" si="5"/>
        <v>1</v>
      </c>
      <c r="G173" s="23">
        <f t="shared" si="6"/>
        <v>1.299038105676658</v>
      </c>
      <c r="H173" s="23">
        <f t="shared" si="7"/>
        <v>4.3132803632236092E-3</v>
      </c>
      <c r="I173" s="23">
        <f t="shared" si="8"/>
        <v>0.2</v>
      </c>
      <c r="J173" s="23">
        <f t="shared" si="9"/>
        <v>0.97858170126100141</v>
      </c>
      <c r="K173" s="23">
        <f t="shared" si="10"/>
        <v>0.35529982252358983</v>
      </c>
      <c r="L173" s="23">
        <f>SUM($K$156:K173)/SUM($K$156:$K$176)</f>
        <v>0.93758920223390618</v>
      </c>
      <c r="M173" s="24" t="str">
        <f t="shared" si="11"/>
        <v>C</v>
      </c>
    </row>
    <row r="174" spans="2:13">
      <c r="B174" s="25" t="s">
        <v>25</v>
      </c>
      <c r="C174" s="25">
        <v>740</v>
      </c>
      <c r="D174" s="23">
        <v>2</v>
      </c>
      <c r="E174" s="23">
        <v>10</v>
      </c>
      <c r="F174" s="23">
        <f t="shared" si="5"/>
        <v>2.5</v>
      </c>
      <c r="G174" s="23">
        <f t="shared" si="6"/>
        <v>0.4898979485566356</v>
      </c>
      <c r="H174" s="23">
        <f t="shared" si="7"/>
        <v>6.6969353007945515E-2</v>
      </c>
      <c r="I174" s="23">
        <f t="shared" si="8"/>
        <v>0.2</v>
      </c>
      <c r="J174" s="23">
        <f t="shared" si="9"/>
        <v>0.99326118051405732</v>
      </c>
      <c r="K174" s="23">
        <f t="shared" si="10"/>
        <v>0.38476609535739537</v>
      </c>
      <c r="L174" s="23">
        <f>SUM($K$156:K174)/SUM($K$156:$K$176)</f>
        <v>0.97237089656973719</v>
      </c>
      <c r="M174" s="24" t="str">
        <f t="shared" si="11"/>
        <v>C</v>
      </c>
    </row>
    <row r="175" spans="2:13">
      <c r="B175" s="25" t="s">
        <v>36</v>
      </c>
      <c r="C175" s="25">
        <v>320</v>
      </c>
      <c r="D175" s="23">
        <v>1</v>
      </c>
      <c r="E175" s="23">
        <v>4</v>
      </c>
      <c r="F175" s="23">
        <f t="shared" si="5"/>
        <v>1</v>
      </c>
      <c r="G175" s="23">
        <f t="shared" si="6"/>
        <v>0.5</v>
      </c>
      <c r="H175" s="23">
        <f t="shared" si="7"/>
        <v>1.9296254256526674E-2</v>
      </c>
      <c r="I175" s="23">
        <f t="shared" si="8"/>
        <v>0</v>
      </c>
      <c r="J175" s="23">
        <f t="shared" si="9"/>
        <v>0.99307790836612186</v>
      </c>
      <c r="K175" s="23">
        <f t="shared" si="10"/>
        <v>0.30564187421244721</v>
      </c>
      <c r="L175" s="23">
        <f>SUM($K$156:K175)/SUM($K$156:$K$176)</f>
        <v>1</v>
      </c>
      <c r="M175" s="24" t="str">
        <f t="shared" si="11"/>
        <v>C</v>
      </c>
    </row>
    <row r="176" spans="2:13">
      <c r="B176" s="25" t="s">
        <v>12</v>
      </c>
      <c r="C176" s="25">
        <v>150</v>
      </c>
      <c r="D176" s="23">
        <v>1</v>
      </c>
      <c r="E176" s="23">
        <v>1</v>
      </c>
      <c r="F176" s="23">
        <f t="shared" si="5"/>
        <v>0.25</v>
      </c>
      <c r="G176" s="23">
        <f t="shared" si="6"/>
        <v>55.238945500434752</v>
      </c>
      <c r="H176" s="23">
        <f t="shared" si="7"/>
        <v>0</v>
      </c>
      <c r="I176" s="23">
        <f t="shared" si="8"/>
        <v>0</v>
      </c>
      <c r="J176" s="23">
        <f t="shared" si="9"/>
        <v>0</v>
      </c>
      <c r="K176" s="23">
        <f t="shared" si="10"/>
        <v>0</v>
      </c>
      <c r="L176" s="23">
        <f>SUM($K$156:K176)/SUM($K$156:$K$176)</f>
        <v>1</v>
      </c>
      <c r="M176" s="24" t="str">
        <f t="shared" si="11"/>
        <v>C</v>
      </c>
    </row>
    <row r="180" spans="2:15">
      <c r="H180" s="23" t="s">
        <v>89</v>
      </c>
      <c r="I180" s="23" t="s">
        <v>83</v>
      </c>
    </row>
    <row r="181" spans="2:15">
      <c r="B181" s="26">
        <v>1</v>
      </c>
      <c r="C181" s="26">
        <v>0</v>
      </c>
      <c r="D181" s="26">
        <v>1</v>
      </c>
      <c r="E181" s="26">
        <v>0</v>
      </c>
      <c r="H181" s="23">
        <v>0.25</v>
      </c>
      <c r="I181" s="23">
        <v>0.14285714285714285</v>
      </c>
    </row>
    <row r="182" spans="2:15" ht="15" thickBot="1">
      <c r="B182" s="26">
        <v>1</v>
      </c>
      <c r="C182" s="26">
        <v>0</v>
      </c>
      <c r="D182" s="26">
        <v>0</v>
      </c>
      <c r="E182" s="26">
        <v>0</v>
      </c>
      <c r="H182" s="23">
        <v>0.5</v>
      </c>
      <c r="I182" s="23">
        <v>0.21650635094610965</v>
      </c>
    </row>
    <row r="183" spans="2:15">
      <c r="B183" s="26">
        <v>0</v>
      </c>
      <c r="C183" s="26">
        <v>4</v>
      </c>
      <c r="D183" s="26">
        <v>0</v>
      </c>
      <c r="E183" s="26">
        <v>0</v>
      </c>
      <c r="H183" s="23">
        <v>1</v>
      </c>
      <c r="I183" s="23">
        <v>0.49487165930539351</v>
      </c>
      <c r="N183" s="27" t="s">
        <v>90</v>
      </c>
      <c r="O183" s="27" t="s">
        <v>91</v>
      </c>
    </row>
    <row r="184" spans="2:15">
      <c r="B184" s="26">
        <v>0</v>
      </c>
      <c r="C184" s="26">
        <v>0</v>
      </c>
      <c r="D184" s="26">
        <v>6</v>
      </c>
      <c r="E184" s="26">
        <v>1</v>
      </c>
      <c r="H184" s="23">
        <v>2</v>
      </c>
      <c r="I184" s="23">
        <v>0.1902097948970789</v>
      </c>
      <c r="N184">
        <v>0.25</v>
      </c>
      <c r="O184">
        <v>4</v>
      </c>
    </row>
    <row r="185" spans="2:15" ht="14.4" customHeight="1">
      <c r="B185" s="26">
        <v>0</v>
      </c>
      <c r="C185" s="26">
        <v>1</v>
      </c>
      <c r="D185" s="26">
        <v>2</v>
      </c>
      <c r="E185" s="26">
        <v>0</v>
      </c>
      <c r="H185" s="23">
        <v>3.5</v>
      </c>
      <c r="I185" s="23">
        <v>0.11845088536983571</v>
      </c>
      <c r="N185">
        <v>0.5</v>
      </c>
      <c r="O185">
        <v>4</v>
      </c>
    </row>
    <row r="186" spans="2:15">
      <c r="B186" s="26">
        <v>0</v>
      </c>
      <c r="C186" s="26">
        <v>6</v>
      </c>
      <c r="D186" s="26">
        <v>12</v>
      </c>
      <c r="E186" s="26">
        <v>0</v>
      </c>
      <c r="H186" s="23">
        <v>10</v>
      </c>
      <c r="I186" s="23">
        <v>1.6583123951776999</v>
      </c>
      <c r="N186">
        <v>1</v>
      </c>
      <c r="O186">
        <v>2</v>
      </c>
    </row>
    <row r="187" spans="2:15">
      <c r="B187" s="26">
        <v>0</v>
      </c>
      <c r="C187" s="26">
        <v>0</v>
      </c>
      <c r="D187" s="26">
        <v>0</v>
      </c>
      <c r="E187" s="26">
        <v>10</v>
      </c>
      <c r="H187" s="23">
        <v>60</v>
      </c>
      <c r="I187" s="23">
        <v>3.4641016151377548</v>
      </c>
      <c r="N187">
        <v>2</v>
      </c>
      <c r="O187">
        <v>5</v>
      </c>
    </row>
    <row r="188" spans="2:15">
      <c r="B188" s="26">
        <v>0</v>
      </c>
      <c r="C188" s="26">
        <v>0</v>
      </c>
      <c r="D188" s="26">
        <v>1</v>
      </c>
      <c r="E188" s="26">
        <v>3</v>
      </c>
      <c r="H188" s="23"/>
      <c r="I188" s="23">
        <v>0.27216552697590868</v>
      </c>
      <c r="N188">
        <v>3.5</v>
      </c>
      <c r="O188">
        <v>4</v>
      </c>
    </row>
    <row r="189" spans="2:15">
      <c r="B189" s="26">
        <v>0</v>
      </c>
      <c r="C189" s="26">
        <v>2</v>
      </c>
      <c r="D189" s="26">
        <v>4</v>
      </c>
      <c r="E189" s="26">
        <v>0</v>
      </c>
      <c r="H189" s="23"/>
      <c r="I189" s="23">
        <v>0.94760708295868568</v>
      </c>
      <c r="N189">
        <v>10</v>
      </c>
      <c r="O189">
        <v>1</v>
      </c>
    </row>
    <row r="190" spans="2:15">
      <c r="B190" s="26">
        <v>2</v>
      </c>
      <c r="C190" s="26">
        <v>1</v>
      </c>
      <c r="D190" s="26">
        <v>5</v>
      </c>
      <c r="E190" s="26">
        <v>4</v>
      </c>
      <c r="H190" s="23"/>
      <c r="I190" s="23">
        <v>2.1081851067789197</v>
      </c>
      <c r="N190">
        <v>60</v>
      </c>
      <c r="O190">
        <v>1</v>
      </c>
    </row>
    <row r="191" spans="2:15" ht="15" thickBot="1">
      <c r="B191" s="26">
        <v>6</v>
      </c>
      <c r="C191" s="26">
        <v>3</v>
      </c>
      <c r="D191" s="26">
        <v>0</v>
      </c>
      <c r="E191" s="26">
        <v>0</v>
      </c>
      <c r="H191" s="23"/>
      <c r="I191" s="23">
        <v>0.82915619758884995</v>
      </c>
      <c r="N191" s="28" t="s">
        <v>92</v>
      </c>
      <c r="O191" s="28">
        <v>0</v>
      </c>
    </row>
    <row r="192" spans="2:15">
      <c r="B192" s="26">
        <v>4</v>
      </c>
      <c r="C192" s="26">
        <v>0</v>
      </c>
      <c r="D192" s="26">
        <v>0</v>
      </c>
      <c r="E192" s="26">
        <v>8</v>
      </c>
      <c r="I192" s="23">
        <v>1.4740554623801776</v>
      </c>
    </row>
    <row r="193" spans="2:9">
      <c r="B193" s="26">
        <v>4</v>
      </c>
      <c r="C193" s="26">
        <v>0</v>
      </c>
      <c r="D193" s="26">
        <v>0</v>
      </c>
      <c r="E193" s="26">
        <v>0</v>
      </c>
      <c r="I193" s="23">
        <v>3.4641016151377544</v>
      </c>
    </row>
    <row r="194" spans="2:9">
      <c r="B194" s="26">
        <v>4</v>
      </c>
      <c r="C194" s="26">
        <v>12</v>
      </c>
      <c r="D194" s="26">
        <v>0</v>
      </c>
      <c r="E194" s="26">
        <v>0</v>
      </c>
      <c r="I194" s="23">
        <v>1.2247448713915889</v>
      </c>
    </row>
    <row r="195" spans="2:9">
      <c r="B195" s="26">
        <v>6</v>
      </c>
      <c r="C195" s="26">
        <v>8</v>
      </c>
      <c r="D195" s="26">
        <v>0</v>
      </c>
      <c r="E195" s="26">
        <v>14</v>
      </c>
      <c r="I195" s="23">
        <v>10</v>
      </c>
    </row>
    <row r="196" spans="2:9">
      <c r="B196" s="26">
        <v>0</v>
      </c>
      <c r="C196" s="26">
        <v>5</v>
      </c>
      <c r="D196" s="26">
        <v>4</v>
      </c>
      <c r="E196" s="26">
        <v>5</v>
      </c>
      <c r="I196" s="23">
        <v>1.3743685418725535</v>
      </c>
    </row>
    <row r="197" spans="2:9">
      <c r="B197" s="26">
        <v>1</v>
      </c>
      <c r="C197" s="26">
        <v>0</v>
      </c>
      <c r="D197" s="26">
        <v>9</v>
      </c>
      <c r="E197" s="26">
        <v>4</v>
      </c>
      <c r="I197" s="23">
        <v>3.5</v>
      </c>
    </row>
    <row r="198" spans="2:9">
      <c r="B198" s="26">
        <v>2</v>
      </c>
      <c r="C198" s="26">
        <v>3</v>
      </c>
      <c r="D198" s="26">
        <v>0</v>
      </c>
      <c r="E198" s="26">
        <v>0</v>
      </c>
      <c r="I198" s="23">
        <v>1.299038105676658</v>
      </c>
    </row>
    <row r="199" spans="2:9">
      <c r="B199" s="26">
        <v>3</v>
      </c>
      <c r="C199" s="26">
        <v>2</v>
      </c>
      <c r="D199" s="26">
        <v>3</v>
      </c>
      <c r="E199" s="26">
        <v>0</v>
      </c>
      <c r="I199" s="23">
        <v>0.4898979485566356</v>
      </c>
    </row>
    <row r="200" spans="2:9">
      <c r="B200" s="26">
        <v>1</v>
      </c>
      <c r="C200" s="26">
        <v>0</v>
      </c>
      <c r="D200" s="26">
        <v>0</v>
      </c>
      <c r="E200" s="26">
        <v>1</v>
      </c>
      <c r="I200" s="23">
        <v>0.5</v>
      </c>
    </row>
    <row r="201" spans="2:9">
      <c r="B201" s="26">
        <v>0</v>
      </c>
      <c r="C201" s="26">
        <v>0</v>
      </c>
      <c r="D201" s="26">
        <v>32.430000000000007</v>
      </c>
      <c r="E201" s="26">
        <v>19.880000000000003</v>
      </c>
      <c r="I201" s="23">
        <v>55.238945500434752</v>
      </c>
    </row>
    <row r="205" spans="2:9" ht="23.4">
      <c r="B205" s="29" t="s">
        <v>93</v>
      </c>
      <c r="C205" s="29"/>
      <c r="D205" s="29"/>
      <c r="E205" s="29"/>
      <c r="F205" s="29"/>
      <c r="G205" s="29"/>
      <c r="H205" s="29"/>
    </row>
    <row r="208" spans="2:9" ht="57.6">
      <c r="B208" s="30" t="s">
        <v>94</v>
      </c>
      <c r="C208" s="30" t="s">
        <v>95</v>
      </c>
      <c r="D208" s="30" t="s">
        <v>96</v>
      </c>
      <c r="E208" s="30" t="s">
        <v>97</v>
      </c>
    </row>
    <row r="209" spans="2:7" ht="72">
      <c r="B209" s="31">
        <v>45748</v>
      </c>
      <c r="C209" s="32">
        <v>55581</v>
      </c>
      <c r="D209" s="33">
        <v>0</v>
      </c>
      <c r="E209" s="33" t="s">
        <v>98</v>
      </c>
    </row>
    <row r="210" spans="2:7" ht="43.2">
      <c r="B210" s="31">
        <v>45778</v>
      </c>
      <c r="C210" s="32">
        <v>86578</v>
      </c>
      <c r="D210" s="33">
        <v>0</v>
      </c>
      <c r="E210" s="33" t="s">
        <v>99</v>
      </c>
    </row>
    <row r="211" spans="2:7" ht="86.4">
      <c r="B211" s="31">
        <v>45809</v>
      </c>
      <c r="C211" s="32">
        <v>138214</v>
      </c>
      <c r="D211" s="32">
        <v>93457</v>
      </c>
      <c r="E211" s="33" t="s">
        <v>100</v>
      </c>
    </row>
    <row r="212" spans="2:7" ht="86.4">
      <c r="B212" s="31">
        <v>45839</v>
      </c>
      <c r="C212" s="32">
        <v>88779</v>
      </c>
      <c r="D212" s="32">
        <v>104524</v>
      </c>
      <c r="E212" s="33" t="s">
        <v>101</v>
      </c>
    </row>
    <row r="213" spans="2:7">
      <c r="B213" s="31"/>
      <c r="C213" s="32"/>
      <c r="D213" s="32"/>
    </row>
    <row r="218" spans="2:7" ht="28.8">
      <c r="B218" s="34" t="s">
        <v>2</v>
      </c>
      <c r="C218" s="35">
        <v>45748</v>
      </c>
      <c r="D218" s="35">
        <v>45839</v>
      </c>
      <c r="E218" s="35">
        <v>45809</v>
      </c>
      <c r="F218" s="35">
        <v>45778</v>
      </c>
      <c r="G218" s="34" t="s">
        <v>102</v>
      </c>
    </row>
    <row r="219" spans="2:7">
      <c r="B219" s="33" t="s">
        <v>9</v>
      </c>
      <c r="C219" s="33">
        <v>1</v>
      </c>
      <c r="D219" s="33">
        <v>0</v>
      </c>
      <c r="E219" s="33">
        <v>1</v>
      </c>
      <c r="F219" s="33">
        <v>0</v>
      </c>
      <c r="G219" s="36" t="s">
        <v>103</v>
      </c>
    </row>
    <row r="220" spans="2:7">
      <c r="B220" s="33" t="s">
        <v>12</v>
      </c>
      <c r="C220" s="33">
        <v>1</v>
      </c>
      <c r="D220" s="33">
        <v>0</v>
      </c>
      <c r="E220" s="33">
        <v>0</v>
      </c>
      <c r="F220" s="33">
        <v>0</v>
      </c>
      <c r="G220" s="36" t="s">
        <v>103</v>
      </c>
    </row>
    <row r="221" spans="2:7">
      <c r="B221" s="33" t="s">
        <v>14</v>
      </c>
      <c r="C221" s="33">
        <v>0</v>
      </c>
      <c r="D221" s="33">
        <v>4</v>
      </c>
      <c r="E221" s="33">
        <v>0</v>
      </c>
      <c r="F221" s="33">
        <v>0</v>
      </c>
      <c r="G221" s="36" t="s">
        <v>103</v>
      </c>
    </row>
    <row r="222" spans="2:7">
      <c r="B222" s="33" t="s">
        <v>18</v>
      </c>
      <c r="C222" s="33">
        <v>0</v>
      </c>
      <c r="D222" s="33">
        <v>0</v>
      </c>
      <c r="E222" s="33">
        <v>6</v>
      </c>
      <c r="F222" s="33">
        <v>1</v>
      </c>
      <c r="G222" s="36" t="s">
        <v>104</v>
      </c>
    </row>
    <row r="223" spans="2:7">
      <c r="B223" s="33" t="s">
        <v>20</v>
      </c>
      <c r="C223" s="33">
        <v>0</v>
      </c>
      <c r="D223" s="33">
        <v>1</v>
      </c>
      <c r="E223" s="33">
        <v>2</v>
      </c>
      <c r="F223" s="33">
        <v>0</v>
      </c>
      <c r="G223" s="36" t="s">
        <v>103</v>
      </c>
    </row>
    <row r="224" spans="2:7">
      <c r="B224" s="33" t="s">
        <v>23</v>
      </c>
      <c r="C224" s="33">
        <v>0</v>
      </c>
      <c r="D224" s="33">
        <v>6</v>
      </c>
      <c r="E224" s="33">
        <v>12</v>
      </c>
      <c r="F224" s="33">
        <v>0</v>
      </c>
      <c r="G224" s="36" t="s">
        <v>105</v>
      </c>
    </row>
    <row r="225" spans="2:7">
      <c r="B225" s="33" t="s">
        <v>25</v>
      </c>
      <c r="C225" s="33">
        <v>0</v>
      </c>
      <c r="D225" s="33">
        <v>0</v>
      </c>
      <c r="E225" s="33">
        <v>10</v>
      </c>
      <c r="F225" s="33">
        <v>0</v>
      </c>
      <c r="G225" s="36" t="s">
        <v>103</v>
      </c>
    </row>
    <row r="226" spans="2:7">
      <c r="B226" s="33" t="s">
        <v>26</v>
      </c>
      <c r="C226" s="33">
        <v>0</v>
      </c>
      <c r="D226" s="33">
        <v>1</v>
      </c>
      <c r="E226" s="33">
        <v>3</v>
      </c>
      <c r="F226" s="33">
        <v>0</v>
      </c>
      <c r="G226" s="36" t="s">
        <v>105</v>
      </c>
    </row>
    <row r="227" spans="2:7">
      <c r="B227" s="33" t="s">
        <v>28</v>
      </c>
      <c r="C227" s="33">
        <v>0</v>
      </c>
      <c r="D227" s="33">
        <v>2</v>
      </c>
      <c r="E227" s="33">
        <v>4</v>
      </c>
      <c r="F227" s="33">
        <v>0</v>
      </c>
      <c r="G227" s="36" t="s">
        <v>105</v>
      </c>
    </row>
    <row r="228" spans="2:7">
      <c r="B228" s="33" t="s">
        <v>30</v>
      </c>
      <c r="C228" s="33">
        <v>2</v>
      </c>
      <c r="D228" s="33">
        <v>1</v>
      </c>
      <c r="E228" s="33">
        <v>5</v>
      </c>
      <c r="F228" s="33">
        <v>4</v>
      </c>
      <c r="G228" s="36" t="s">
        <v>105</v>
      </c>
    </row>
    <row r="229" spans="2:7">
      <c r="B229" s="33" t="s">
        <v>32</v>
      </c>
      <c r="C229" s="33">
        <v>6</v>
      </c>
      <c r="D229" s="33">
        <v>3</v>
      </c>
      <c r="E229" s="33">
        <v>0</v>
      </c>
      <c r="F229" s="33">
        <v>0</v>
      </c>
      <c r="G229" s="36" t="s">
        <v>104</v>
      </c>
    </row>
    <row r="230" spans="2:7">
      <c r="B230" s="33" t="s">
        <v>34</v>
      </c>
      <c r="C230" s="33">
        <v>4</v>
      </c>
      <c r="D230" s="33">
        <v>0</v>
      </c>
      <c r="E230" s="33">
        <v>0</v>
      </c>
      <c r="F230" s="33">
        <v>8</v>
      </c>
      <c r="G230" s="36" t="s">
        <v>105</v>
      </c>
    </row>
    <row r="231" spans="2:7">
      <c r="B231" s="33" t="s">
        <v>36</v>
      </c>
      <c r="C231" s="33">
        <v>4</v>
      </c>
      <c r="D231" s="33">
        <v>0</v>
      </c>
      <c r="E231" s="33">
        <v>0</v>
      </c>
      <c r="F231" s="33">
        <v>0</v>
      </c>
      <c r="G231" s="36" t="s">
        <v>103</v>
      </c>
    </row>
    <row r="232" spans="2:7">
      <c r="B232" s="33" t="s">
        <v>38</v>
      </c>
      <c r="C232" s="33">
        <v>4</v>
      </c>
      <c r="D232" s="33">
        <v>12</v>
      </c>
      <c r="E232" s="33">
        <v>0</v>
      </c>
      <c r="F232" s="33">
        <v>0</v>
      </c>
      <c r="G232" s="36" t="s">
        <v>105</v>
      </c>
    </row>
    <row r="233" spans="2:7">
      <c r="B233" s="33" t="s">
        <v>40</v>
      </c>
      <c r="C233" s="33">
        <v>6</v>
      </c>
      <c r="D233" s="33">
        <v>8</v>
      </c>
      <c r="E233" s="33">
        <v>0</v>
      </c>
      <c r="F233" s="33">
        <v>14</v>
      </c>
      <c r="G233" s="36" t="s">
        <v>105</v>
      </c>
    </row>
    <row r="234" spans="2:7">
      <c r="B234" s="33" t="s">
        <v>43</v>
      </c>
      <c r="C234" s="33">
        <v>0</v>
      </c>
      <c r="D234" s="33">
        <v>5</v>
      </c>
      <c r="E234" s="33">
        <v>4</v>
      </c>
      <c r="F234" s="33">
        <v>5</v>
      </c>
      <c r="G234" s="36" t="s">
        <v>103</v>
      </c>
    </row>
    <row r="235" spans="2:7">
      <c r="B235" s="33" t="s">
        <v>45</v>
      </c>
      <c r="C235" s="33">
        <v>1</v>
      </c>
      <c r="D235" s="33">
        <v>0</v>
      </c>
      <c r="E235" s="33">
        <v>9</v>
      </c>
      <c r="F235" s="33">
        <v>4</v>
      </c>
      <c r="G235" s="36" t="s">
        <v>104</v>
      </c>
    </row>
    <row r="236" spans="2:7">
      <c r="B236" s="33" t="s">
        <v>46</v>
      </c>
      <c r="C236" s="33">
        <v>2</v>
      </c>
      <c r="D236" s="33">
        <v>3</v>
      </c>
      <c r="E236" s="33">
        <v>0</v>
      </c>
      <c r="F236" s="33">
        <v>0</v>
      </c>
      <c r="G236" s="36" t="s">
        <v>103</v>
      </c>
    </row>
    <row r="237" spans="2:7">
      <c r="B237" s="33" t="s">
        <v>48</v>
      </c>
      <c r="C237" s="33">
        <v>3</v>
      </c>
      <c r="D237" s="33">
        <v>2</v>
      </c>
      <c r="E237" s="33">
        <v>3</v>
      </c>
      <c r="F237" s="33">
        <v>0</v>
      </c>
      <c r="G237" s="36" t="s">
        <v>103</v>
      </c>
    </row>
    <row r="238" spans="2:7">
      <c r="B238" s="33" t="s">
        <v>50</v>
      </c>
      <c r="C238" s="33">
        <v>1</v>
      </c>
      <c r="D238" s="33">
        <v>0</v>
      </c>
      <c r="E238" s="33">
        <v>0</v>
      </c>
      <c r="F238" s="33">
        <v>1</v>
      </c>
      <c r="G238" s="36" t="s">
        <v>103</v>
      </c>
    </row>
    <row r="239" spans="2:7">
      <c r="B239" s="33" t="s">
        <v>52</v>
      </c>
      <c r="C239" s="33">
        <v>0</v>
      </c>
      <c r="D239" s="33">
        <v>0</v>
      </c>
      <c r="E239" s="33">
        <v>32.43</v>
      </c>
      <c r="F239" s="33">
        <v>19.88</v>
      </c>
      <c r="G239" s="36" t="s">
        <v>104</v>
      </c>
    </row>
    <row r="242" spans="2:6" ht="23.4">
      <c r="B242" s="37" t="s">
        <v>106</v>
      </c>
      <c r="C242" s="37"/>
      <c r="D242" s="37"/>
      <c r="E242" s="37"/>
    </row>
    <row r="244" spans="2:6" ht="43.2">
      <c r="B244" s="38" t="s">
        <v>2</v>
      </c>
      <c r="C244" s="38" t="s">
        <v>88</v>
      </c>
      <c r="D244" s="38" t="s">
        <v>102</v>
      </c>
      <c r="E244" s="38" t="s">
        <v>107</v>
      </c>
      <c r="F244" s="38" t="s">
        <v>108</v>
      </c>
    </row>
    <row r="245" spans="2:6" ht="86.4">
      <c r="B245" s="33" t="s">
        <v>43</v>
      </c>
      <c r="C245" s="33" t="s">
        <v>109</v>
      </c>
      <c r="D245" s="33" t="s">
        <v>103</v>
      </c>
      <c r="E245" s="33" t="s">
        <v>110</v>
      </c>
      <c r="F245" s="33" t="s">
        <v>111</v>
      </c>
    </row>
    <row r="246" spans="2:6" ht="86.4">
      <c r="B246" s="33" t="s">
        <v>48</v>
      </c>
      <c r="C246" s="33" t="s">
        <v>109</v>
      </c>
      <c r="D246" s="33" t="s">
        <v>103</v>
      </c>
      <c r="E246" s="33" t="s">
        <v>112</v>
      </c>
      <c r="F246" s="33" t="s">
        <v>113</v>
      </c>
    </row>
    <row r="247" spans="2:6" ht="72">
      <c r="B247" s="33" t="s">
        <v>45</v>
      </c>
      <c r="C247" s="33" t="s">
        <v>109</v>
      </c>
      <c r="D247" s="33" t="s">
        <v>103</v>
      </c>
      <c r="E247" s="33" t="s">
        <v>114</v>
      </c>
      <c r="F247" s="33" t="s">
        <v>115</v>
      </c>
    </row>
    <row r="248" spans="2:6" ht="72">
      <c r="B248" s="33" t="s">
        <v>52</v>
      </c>
      <c r="C248" s="33" t="s">
        <v>109</v>
      </c>
      <c r="D248" s="33" t="s">
        <v>105</v>
      </c>
      <c r="E248" s="33" t="s">
        <v>116</v>
      </c>
      <c r="F248" s="33" t="s">
        <v>117</v>
      </c>
    </row>
    <row r="249" spans="2:6" ht="72">
      <c r="B249" s="33" t="s">
        <v>40</v>
      </c>
      <c r="C249" s="33" t="s">
        <v>109</v>
      </c>
      <c r="D249" s="33" t="s">
        <v>105</v>
      </c>
      <c r="E249" s="33" t="s">
        <v>118</v>
      </c>
      <c r="F249" s="33" t="s">
        <v>119</v>
      </c>
    </row>
    <row r="250" spans="2:6" ht="43.2">
      <c r="B250" s="33" t="s">
        <v>30</v>
      </c>
      <c r="C250" s="33" t="s">
        <v>109</v>
      </c>
      <c r="D250" s="33" t="s">
        <v>105</v>
      </c>
      <c r="E250" s="33" t="s">
        <v>120</v>
      </c>
      <c r="F250" s="33" t="s">
        <v>121</v>
      </c>
    </row>
    <row r="251" spans="2:6" ht="57.6">
      <c r="B251" s="33" t="s">
        <v>46</v>
      </c>
      <c r="C251" s="33" t="s">
        <v>109</v>
      </c>
      <c r="D251" s="33" t="s">
        <v>103</v>
      </c>
      <c r="E251" s="33" t="s">
        <v>122</v>
      </c>
      <c r="F251" s="33" t="s">
        <v>123</v>
      </c>
    </row>
    <row r="252" spans="2:6" ht="43.2">
      <c r="B252" s="33" t="s">
        <v>23</v>
      </c>
      <c r="C252" s="33" t="s">
        <v>109</v>
      </c>
      <c r="D252" s="33" t="s">
        <v>105</v>
      </c>
      <c r="E252" s="33" t="s">
        <v>124</v>
      </c>
      <c r="F252" s="33" t="s">
        <v>125</v>
      </c>
    </row>
    <row r="253" spans="2:6" ht="43.2">
      <c r="B253" s="33" t="s">
        <v>18</v>
      </c>
      <c r="C253" s="33" t="s">
        <v>109</v>
      </c>
      <c r="D253" s="33" t="s">
        <v>103</v>
      </c>
      <c r="E253" s="33" t="s">
        <v>126</v>
      </c>
      <c r="F253" s="33" t="s">
        <v>127</v>
      </c>
    </row>
    <row r="254" spans="2:6" ht="43.2">
      <c r="B254" s="33" t="s">
        <v>20</v>
      </c>
      <c r="C254" s="33" t="s">
        <v>109</v>
      </c>
      <c r="D254" s="33" t="s">
        <v>103</v>
      </c>
      <c r="E254" s="33" t="s">
        <v>128</v>
      </c>
      <c r="F254" s="33" t="s">
        <v>129</v>
      </c>
    </row>
    <row r="255" spans="2:6" ht="43.2">
      <c r="B255" s="33" t="s">
        <v>34</v>
      </c>
      <c r="C255" s="33" t="s">
        <v>109</v>
      </c>
      <c r="D255" s="33" t="s">
        <v>103</v>
      </c>
      <c r="E255" s="33" t="s">
        <v>130</v>
      </c>
      <c r="F255" s="33" t="s">
        <v>131</v>
      </c>
    </row>
    <row r="256" spans="2:6" ht="43.2">
      <c r="B256" s="33" t="s">
        <v>32</v>
      </c>
      <c r="C256" s="33" t="s">
        <v>132</v>
      </c>
      <c r="D256" s="33" t="s">
        <v>104</v>
      </c>
      <c r="E256" s="33" t="s">
        <v>133</v>
      </c>
      <c r="F256" s="33" t="s">
        <v>134</v>
      </c>
    </row>
    <row r="257" spans="2:6" ht="57.6">
      <c r="B257" s="33" t="s">
        <v>9</v>
      </c>
      <c r="C257" s="33" t="s">
        <v>132</v>
      </c>
      <c r="D257" s="33" t="s">
        <v>103</v>
      </c>
      <c r="E257" s="33" t="s">
        <v>135</v>
      </c>
      <c r="F257" s="33" t="s">
        <v>136</v>
      </c>
    </row>
    <row r="258" spans="2:6" ht="57.6">
      <c r="B258" s="33" t="s">
        <v>38</v>
      </c>
      <c r="C258" s="33" t="s">
        <v>132</v>
      </c>
      <c r="D258" s="33" t="s">
        <v>103</v>
      </c>
      <c r="E258" s="33" t="s">
        <v>137</v>
      </c>
      <c r="F258" s="33" t="s">
        <v>138</v>
      </c>
    </row>
    <row r="259" spans="2:6" ht="57.6">
      <c r="B259" s="33" t="s">
        <v>50</v>
      </c>
      <c r="C259" s="33" t="s">
        <v>132</v>
      </c>
      <c r="D259" s="33" t="s">
        <v>103</v>
      </c>
      <c r="E259" s="33" t="s">
        <v>139</v>
      </c>
      <c r="F259" s="33" t="s">
        <v>140</v>
      </c>
    </row>
    <row r="260" spans="2:6" ht="57.6">
      <c r="B260" s="33" t="s">
        <v>28</v>
      </c>
      <c r="C260" s="33" t="s">
        <v>132</v>
      </c>
      <c r="D260" s="33" t="s">
        <v>103</v>
      </c>
      <c r="E260" s="33" t="s">
        <v>141</v>
      </c>
      <c r="F260" s="33" t="s">
        <v>142</v>
      </c>
    </row>
    <row r="261" spans="2:6" ht="43.2">
      <c r="B261" s="33" t="s">
        <v>14</v>
      </c>
      <c r="C261" s="33" t="s">
        <v>143</v>
      </c>
      <c r="D261" s="33" t="s">
        <v>103</v>
      </c>
      <c r="E261" s="33" t="s">
        <v>144</v>
      </c>
      <c r="F261" s="33" t="s">
        <v>145</v>
      </c>
    </row>
    <row r="262" spans="2:6" ht="43.2">
      <c r="B262" s="33" t="s">
        <v>26</v>
      </c>
      <c r="C262" s="33" t="s">
        <v>143</v>
      </c>
      <c r="D262" s="33" t="s">
        <v>103</v>
      </c>
      <c r="E262" s="33" t="s">
        <v>146</v>
      </c>
      <c r="F262" s="33" t="s">
        <v>147</v>
      </c>
    </row>
    <row r="263" spans="2:6" ht="28.8">
      <c r="B263" s="33" t="s">
        <v>25</v>
      </c>
      <c r="C263" s="33" t="s">
        <v>143</v>
      </c>
      <c r="D263" s="33" t="s">
        <v>103</v>
      </c>
      <c r="E263" s="33" t="s">
        <v>148</v>
      </c>
      <c r="F263" s="33" t="s">
        <v>149</v>
      </c>
    </row>
    <row r="264" spans="2:6" ht="43.2">
      <c r="B264" s="33" t="s">
        <v>36</v>
      </c>
      <c r="C264" s="33" t="s">
        <v>143</v>
      </c>
      <c r="D264" s="33" t="s">
        <v>103</v>
      </c>
      <c r="E264" s="33" t="s">
        <v>150</v>
      </c>
      <c r="F264" s="33" t="s">
        <v>151</v>
      </c>
    </row>
    <row r="265" spans="2:6" ht="43.2">
      <c r="B265" s="33" t="s">
        <v>12</v>
      </c>
      <c r="C265" s="33" t="s">
        <v>143</v>
      </c>
      <c r="D265" s="33" t="s">
        <v>103</v>
      </c>
      <c r="E265" s="33" t="s">
        <v>152</v>
      </c>
      <c r="F265" s="33" t="s">
        <v>153</v>
      </c>
    </row>
  </sheetData>
  <mergeCells count="7">
    <mergeCell ref="B242:E242"/>
    <mergeCell ref="C1:M1"/>
    <mergeCell ref="B46:G46"/>
    <mergeCell ref="B96:G96"/>
    <mergeCell ref="B123:G123"/>
    <mergeCell ref="B152:G152"/>
    <mergeCell ref="B205:H205"/>
  </mergeCells>
  <pageMargins left="0.7" right="0.7" top="0.75" bottom="0.75" header="0.3" footer="0.3"/>
  <pageSetup orientation="portrait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hadi</dc:creator>
  <cp:lastModifiedBy>abdul hadi</cp:lastModifiedBy>
  <dcterms:created xsi:type="dcterms:W3CDTF">2026-01-12T07:33:14Z</dcterms:created>
  <dcterms:modified xsi:type="dcterms:W3CDTF">2026-01-12T07:33:37Z</dcterms:modified>
</cp:coreProperties>
</file>