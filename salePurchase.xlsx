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bdul Hadi\Desktop\PRO\bdm\"/>
    </mc:Choice>
  </mc:AlternateContent>
  <xr:revisionPtr revIDLastSave="0" documentId="13_ncr:1_{F69B72F8-BAA6-4A34-82BD-D925ADDB3FD5}" xr6:coauthVersionLast="47" xr6:coauthVersionMax="47" xr10:uidLastSave="{00000000-0000-0000-0000-000000000000}"/>
  <bookViews>
    <workbookView xWindow="-108" yWindow="-108" windowWidth="23256" windowHeight="12456" xr2:uid="{86DECB74-B7E9-4958-A7D2-BE915B2161CE}"/>
  </bookViews>
  <sheets>
    <sheet name="AR_SalePurchas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F5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<sst xmlns="http://schemas.openxmlformats.org/spreadsheetml/2006/main" count="49" uniqueCount="46">
  <si>
    <t>Bed Side Frame (F)</t>
  </si>
  <si>
    <t>BSF (F)</t>
  </si>
  <si>
    <t>Centre Table Frame (C)</t>
  </si>
  <si>
    <t>CTF (C)</t>
  </si>
  <si>
    <t>Chair Frame (B)</t>
  </si>
  <si>
    <t>Chair Frame (A)</t>
  </si>
  <si>
    <t>Centre Table Frame (B)</t>
  </si>
  <si>
    <t>CTF (B)</t>
  </si>
  <si>
    <t>Dining Chair Frame (D)</t>
  </si>
  <si>
    <t>DCF (D)</t>
  </si>
  <si>
    <t>Teak Sawn Timber Different Cut Size</t>
  </si>
  <si>
    <t>Teak Sawn Timber</t>
  </si>
  <si>
    <t>Dining Chair Frame (C)</t>
  </si>
  <si>
    <t>DCF (C)</t>
  </si>
  <si>
    <t>Sofa Side Frame (E)</t>
  </si>
  <si>
    <t>SSF (E)</t>
  </si>
  <si>
    <t>Bed Side Frame (D)</t>
  </si>
  <si>
    <t>BSF (D)</t>
  </si>
  <si>
    <t>Sofa Side Frame (D)</t>
  </si>
  <si>
    <t>SSF (D)</t>
  </si>
  <si>
    <t>Dining Chair Frame (B)</t>
  </si>
  <si>
    <t>DCF (B)</t>
  </si>
  <si>
    <t>Bed Side Frame (C)</t>
  </si>
  <si>
    <t>BSF (C)</t>
  </si>
  <si>
    <t>Sofa Side Frame (C)</t>
  </si>
  <si>
    <t>SSF (C)</t>
  </si>
  <si>
    <t>Centre Table Side Frame (A)</t>
  </si>
  <si>
    <t>CTSF (A)</t>
  </si>
  <si>
    <t>Sofa Side Frame (B)</t>
  </si>
  <si>
    <t>SSF (B)</t>
  </si>
  <si>
    <t>Bed Side Frame (B)</t>
  </si>
  <si>
    <t>BSF (B)</t>
  </si>
  <si>
    <t>Centre Table Frame (A)</t>
  </si>
  <si>
    <t>CTF (A)</t>
  </si>
  <si>
    <t>Dining Chair Frame (A)</t>
  </si>
  <si>
    <t>Bed Side Frame (A)</t>
  </si>
  <si>
    <t>BSF (A)</t>
  </si>
  <si>
    <t>Sofa Side Frame (A)</t>
  </si>
  <si>
    <t>SSF (A)</t>
  </si>
  <si>
    <t>Item Description</t>
  </si>
  <si>
    <t>Item Code</t>
  </si>
  <si>
    <t>Purchase Rate</t>
  </si>
  <si>
    <t>Sales Rate</t>
  </si>
  <si>
    <t>Profit</t>
  </si>
  <si>
    <t>Profit Margin %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</si>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</sst>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dul%20Hadi\Desktop\PRO\bdm\sale_purchase_may_aug1.xlsx" TargetMode="External"/><Relationship Id="rId1" Type="http://schemas.openxmlformats.org/officeDocument/2006/relationships/externalLinkPath" Target="sale_purchase_may_aug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rchase"/>
      <sheetName val="Sale"/>
      <sheetName val="Sheet2"/>
      <sheetName val="Retail Sale"/>
      <sheetName val="Summary"/>
    </sheetNames>
    <sheetDataSet>
      <sheetData sheetId="0"/>
      <sheetData sheetId="1"/>
      <sheetData sheetId="2"/>
      <sheetData sheetId="3"/>
      <sheetData sheetId="4">
        <row r="79">
          <cell r="D79" t="str">
            <v>Sum of Total Amount</v>
          </cell>
          <cell r="E79" t="str">
            <v>% of Total Sales</v>
          </cell>
          <cell r="F79" t="str">
            <v>Cumulative %</v>
          </cell>
        </row>
        <row r="80">
          <cell r="D80">
            <v>176710</v>
          </cell>
          <cell r="E80">
            <v>0.15340075524111291</v>
          </cell>
          <cell r="F80">
            <v>0.15340075524111291</v>
          </cell>
        </row>
        <row r="81">
          <cell r="D81">
            <v>163440</v>
          </cell>
          <cell r="E81">
            <v>0.14188115803637311</v>
          </cell>
          <cell r="F81">
            <v>0.29528191327748599</v>
          </cell>
        </row>
        <row r="82">
          <cell r="D82">
            <v>143550</v>
          </cell>
          <cell r="E82">
            <v>0.12461478362776163</v>
          </cell>
          <cell r="F82">
            <v>0.41989669690524761</v>
          </cell>
        </row>
        <row r="83">
          <cell r="D83">
            <v>133400</v>
          </cell>
          <cell r="E83">
            <v>0.11580363731064716</v>
          </cell>
          <cell r="F83">
            <v>0.5357003342158948</v>
          </cell>
        </row>
        <row r="84">
          <cell r="D84">
            <v>88200</v>
          </cell>
          <cell r="E84">
            <v>7.6565823169408395E-2</v>
          </cell>
          <cell r="F84">
            <v>0.61226615738530321</v>
          </cell>
        </row>
        <row r="85">
          <cell r="D85">
            <v>57500</v>
          </cell>
          <cell r="E85">
            <v>4.9915360909761709E-2</v>
          </cell>
          <cell r="F85">
            <v>0.66218151829506489</v>
          </cell>
        </row>
        <row r="86">
          <cell r="D86">
            <v>40640</v>
          </cell>
          <cell r="E86">
            <v>3.5279308997786363E-2</v>
          </cell>
          <cell r="F86">
            <v>0.6974608272928513</v>
          </cell>
        </row>
        <row r="87">
          <cell r="D87">
            <v>40600</v>
          </cell>
          <cell r="E87">
            <v>3.5244585268457834E-2</v>
          </cell>
          <cell r="F87">
            <v>0.73270541256130917</v>
          </cell>
        </row>
        <row r="88">
          <cell r="D88">
            <v>38760</v>
          </cell>
          <cell r="E88">
            <v>3.364729371934546E-2</v>
          </cell>
          <cell r="F88">
            <v>0.76635270628065466</v>
          </cell>
        </row>
        <row r="89">
          <cell r="D89">
            <v>35280</v>
          </cell>
          <cell r="E89">
            <v>3.0626329267763357E-2</v>
          </cell>
          <cell r="F89">
            <v>0.79697903554841798</v>
          </cell>
        </row>
        <row r="90">
          <cell r="D90">
            <v>30240</v>
          </cell>
          <cell r="E90">
            <v>2.6251139372368594E-2</v>
          </cell>
          <cell r="F90">
            <v>0.82323017492078654</v>
          </cell>
        </row>
        <row r="91">
          <cell r="D91">
            <v>28710</v>
          </cell>
          <cell r="E91">
            <v>2.4922956725552323E-2</v>
          </cell>
          <cell r="F91">
            <v>0.84815313164633888</v>
          </cell>
        </row>
        <row r="92">
          <cell r="D92">
            <v>27550</v>
          </cell>
          <cell r="E92">
            <v>2.3915968575024957E-2</v>
          </cell>
          <cell r="F92">
            <v>0.87206910022136386</v>
          </cell>
        </row>
        <row r="93">
          <cell r="D93">
            <v>25200</v>
          </cell>
          <cell r="E93">
            <v>2.1875949476973827E-2</v>
          </cell>
          <cell r="F93">
            <v>0.89394504969833766</v>
          </cell>
        </row>
        <row r="94">
          <cell r="D94">
            <v>24750</v>
          </cell>
          <cell r="E94">
            <v>2.1485307522027867E-2</v>
          </cell>
          <cell r="F94">
            <v>0.91543035722036548</v>
          </cell>
        </row>
        <row r="95">
          <cell r="D95">
            <v>24180</v>
          </cell>
          <cell r="E95">
            <v>2.0990494379096315E-2</v>
          </cell>
          <cell r="F95">
            <v>0.93642085159946176</v>
          </cell>
        </row>
        <row r="96">
          <cell r="D96">
            <v>21340</v>
          </cell>
          <cell r="E96">
            <v>1.8525109596770693E-2</v>
          </cell>
          <cell r="F96">
            <v>0.95494596119623243</v>
          </cell>
        </row>
        <row r="97">
          <cell r="D97">
            <v>15840</v>
          </cell>
          <cell r="E97">
            <v>1.3750596814097835E-2</v>
          </cell>
          <cell r="F97">
            <v>0.96869655801033028</v>
          </cell>
        </row>
        <row r="98">
          <cell r="D98">
            <v>15400</v>
          </cell>
          <cell r="E98">
            <v>1.3368635791484005E-2</v>
          </cell>
          <cell r="F98">
            <v>0.98206519380181423</v>
          </cell>
        </row>
        <row r="99">
          <cell r="D99">
            <v>11360</v>
          </cell>
          <cell r="E99">
            <v>9.8615391293024879E-3</v>
          </cell>
          <cell r="F99">
            <v>0.99192673293111677</v>
          </cell>
        </row>
        <row r="100">
          <cell r="D100">
            <v>9300</v>
          </cell>
          <cell r="E100">
            <v>8.073267068883198E-3</v>
          </cell>
          <cell r="F10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7E8B8-12F9-4CAC-9858-A7A1CBBA06E8}">
  <dimension ref="A1:G26"/>
  <sheetViews>
    <sheetView tabSelected="1" workbookViewId="0">
      <selection activeCell="G26" sqref="G26"/>
    </sheetView>
  </sheetViews>
  <sheetFormatPr defaultRowHeight="14.4" x14ac:dyDescent="0.3"/>
  <cols>
    <col min="2" max="2" width="30.88671875" bestFit="1" customWidth="1"/>
    <col min="3" max="3" width="12.88671875" bestFit="1" customWidth="1"/>
    <col min="4" max="4" width="9.44140625" bestFit="1" customWidth="1"/>
    <col min="5" max="5" width="5.6640625" bestFit="1" customWidth="1"/>
    <col min="6" max="6" width="14.109375" bestFit="1" customWidth="1"/>
  </cols>
  <sheetData>
    <row r="1" spans="1:6" x14ac:dyDescent="0.3">
      <c r="A1" s="2" t="s">
        <v>40</v>
      </c>
      <c r="B1" s="2" t="s">
        <v>39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3">
      <c r="A2" t="s">
        <v>11</v>
      </c>
      <c r="B2" t="s">
        <v>10</v>
      </c>
      <c r="C2">
        <v>1347</v>
      </c>
      <c r="D2">
        <v>1485</v>
      </c>
      <c r="E2">
        <f>D2-C2</f>
        <v>138</v>
      </c>
      <c r="F2" s="1">
        <f>E2/C2*100</f>
        <v>10.244988864142538</v>
      </c>
    </row>
    <row r="3" spans="1:6" x14ac:dyDescent="0.3">
      <c r="A3" t="s">
        <v>15</v>
      </c>
      <c r="B3" t="s">
        <v>14</v>
      </c>
      <c r="C3">
        <v>4785</v>
      </c>
      <c r="D3">
        <v>6300</v>
      </c>
      <c r="E3">
        <f>D3-C3</f>
        <v>1515</v>
      </c>
      <c r="F3" s="1">
        <f>E3/C3*100</f>
        <v>31.661442006269592</v>
      </c>
    </row>
    <row r="4" spans="1:6" x14ac:dyDescent="0.3">
      <c r="A4" t="s">
        <v>19</v>
      </c>
      <c r="B4" t="s">
        <v>18</v>
      </c>
      <c r="C4">
        <v>4330</v>
      </c>
      <c r="D4">
        <v>5800</v>
      </c>
      <c r="E4">
        <f>D4-C4</f>
        <v>1470</v>
      </c>
      <c r="F4" s="1">
        <f>E4/C4*100</f>
        <v>33.94919168591224</v>
      </c>
    </row>
    <row r="5" spans="1:6" x14ac:dyDescent="0.3">
      <c r="A5" t="s">
        <v>25</v>
      </c>
      <c r="B5" t="s">
        <v>24</v>
      </c>
      <c r="C5">
        <v>3730</v>
      </c>
      <c r="D5">
        <v>4940</v>
      </c>
      <c r="E5">
        <f>D5-C5</f>
        <v>1210</v>
      </c>
      <c r="F5" s="1">
        <f>E5/C5*100</f>
        <v>32.439678284182307</v>
      </c>
    </row>
    <row r="6" spans="1:6" x14ac:dyDescent="0.3">
      <c r="A6" t="s">
        <v>29</v>
      </c>
      <c r="B6" t="s">
        <v>28</v>
      </c>
      <c r="C6">
        <v>3150</v>
      </c>
      <c r="D6">
        <v>3910</v>
      </c>
      <c r="E6">
        <f>D6-C6</f>
        <v>760</v>
      </c>
      <c r="F6" s="1">
        <f>E6/C6*100</f>
        <v>24.126984126984127</v>
      </c>
    </row>
    <row r="7" spans="1:6" x14ac:dyDescent="0.3">
      <c r="A7" t="s">
        <v>38</v>
      </c>
      <c r="B7" t="s">
        <v>37</v>
      </c>
      <c r="C7">
        <v>3375</v>
      </c>
      <c r="D7">
        <v>4310</v>
      </c>
      <c r="E7">
        <f>D7-C7</f>
        <v>935</v>
      </c>
      <c r="F7" s="1">
        <f>E7/C7*100</f>
        <v>27.703703703703702</v>
      </c>
    </row>
    <row r="8" spans="1:6" x14ac:dyDescent="0.3">
      <c r="A8" t="s">
        <v>34</v>
      </c>
      <c r="B8" t="s">
        <v>34</v>
      </c>
      <c r="C8">
        <v>590</v>
      </c>
      <c r="D8">
        <v>700</v>
      </c>
      <c r="E8">
        <f>D8-C8</f>
        <v>110</v>
      </c>
      <c r="F8" s="1">
        <f>E8/C8*100</f>
        <v>18.64406779661017</v>
      </c>
    </row>
    <row r="9" spans="1:6" x14ac:dyDescent="0.3">
      <c r="A9" t="s">
        <v>9</v>
      </c>
      <c r="B9" t="s">
        <v>8</v>
      </c>
      <c r="C9">
        <v>540</v>
      </c>
      <c r="D9">
        <v>623</v>
      </c>
      <c r="E9">
        <f>D9-C9</f>
        <v>83</v>
      </c>
      <c r="F9" s="1">
        <f>E9/C9*100</f>
        <v>15.37037037037037</v>
      </c>
    </row>
    <row r="10" spans="1:6" x14ac:dyDescent="0.3">
      <c r="A10" t="s">
        <v>13</v>
      </c>
      <c r="B10" t="s">
        <v>12</v>
      </c>
      <c r="C10">
        <v>625</v>
      </c>
      <c r="D10">
        <v>710</v>
      </c>
      <c r="E10">
        <f>D10-C10</f>
        <v>85</v>
      </c>
      <c r="F10" s="1">
        <f>E10/C10*100</f>
        <v>13.600000000000001</v>
      </c>
    </row>
    <row r="11" spans="1:6" x14ac:dyDescent="0.3">
      <c r="A11" t="s">
        <v>21</v>
      </c>
      <c r="B11" t="s">
        <v>20</v>
      </c>
      <c r="C11">
        <v>580</v>
      </c>
      <c r="D11">
        <v>660</v>
      </c>
      <c r="E11">
        <f>D11-C11</f>
        <v>80</v>
      </c>
      <c r="F11" s="1">
        <f>E11/C11*100</f>
        <v>13.793103448275861</v>
      </c>
    </row>
    <row r="12" spans="1:6" x14ac:dyDescent="0.3">
      <c r="A12" t="s">
        <v>27</v>
      </c>
      <c r="B12" t="s">
        <v>26</v>
      </c>
      <c r="C12">
        <v>890</v>
      </c>
      <c r="D12">
        <v>985</v>
      </c>
      <c r="E12">
        <f>D12-C12</f>
        <v>95</v>
      </c>
      <c r="F12" s="1">
        <f>E12/C12*100</f>
        <v>10.674157303370785</v>
      </c>
    </row>
    <row r="13" spans="1:6" x14ac:dyDescent="0.3">
      <c r="A13" t="s">
        <v>3</v>
      </c>
      <c r="B13" t="s">
        <v>2</v>
      </c>
      <c r="C13">
        <v>854</v>
      </c>
      <c r="D13">
        <v>970</v>
      </c>
      <c r="E13">
        <f>D13-C13</f>
        <v>116</v>
      </c>
      <c r="F13" s="1">
        <f>E13/C13*100</f>
        <v>13.583138173302109</v>
      </c>
    </row>
    <row r="14" spans="1:6" x14ac:dyDescent="0.3">
      <c r="A14" t="s">
        <v>7</v>
      </c>
      <c r="B14" t="s">
        <v>6</v>
      </c>
      <c r="C14">
        <v>880</v>
      </c>
      <c r="D14">
        <v>1015</v>
      </c>
      <c r="E14">
        <f>D14-C14</f>
        <v>135</v>
      </c>
      <c r="F14" s="1">
        <f>E14/C14*100</f>
        <v>15.340909090909092</v>
      </c>
    </row>
    <row r="15" spans="1:6" x14ac:dyDescent="0.3">
      <c r="A15" t="s">
        <v>33</v>
      </c>
      <c r="B15" t="s">
        <v>32</v>
      </c>
      <c r="C15">
        <v>657</v>
      </c>
      <c r="D15">
        <v>730</v>
      </c>
      <c r="E15">
        <f>D15-C15</f>
        <v>73</v>
      </c>
      <c r="F15" s="1">
        <f>E15/C15*100</f>
        <v>11.111111111111111</v>
      </c>
    </row>
    <row r="16" spans="1:6" x14ac:dyDescent="0.3">
      <c r="A16" t="s">
        <v>4</v>
      </c>
      <c r="B16" t="s">
        <v>4</v>
      </c>
      <c r="C16">
        <v>560</v>
      </c>
      <c r="D16">
        <v>624</v>
      </c>
      <c r="E16">
        <f>D16-C16</f>
        <v>64</v>
      </c>
      <c r="F16" s="1">
        <f>E16/C16*100</f>
        <v>11.428571428571429</v>
      </c>
    </row>
    <row r="17" spans="1:7" x14ac:dyDescent="0.3">
      <c r="A17" t="s">
        <v>5</v>
      </c>
      <c r="B17" t="s">
        <v>5</v>
      </c>
      <c r="C17">
        <v>800</v>
      </c>
      <c r="D17">
        <v>990</v>
      </c>
      <c r="E17">
        <f>D17-C17</f>
        <v>190</v>
      </c>
      <c r="F17" s="1">
        <f>E17/C17*100</f>
        <v>23.75</v>
      </c>
    </row>
    <row r="18" spans="1:7" x14ac:dyDescent="0.3">
      <c r="A18" t="s">
        <v>1</v>
      </c>
      <c r="B18" t="s">
        <v>0</v>
      </c>
      <c r="C18">
        <v>1720</v>
      </c>
      <c r="D18">
        <v>1960</v>
      </c>
      <c r="E18">
        <f>D18-C18</f>
        <v>240</v>
      </c>
      <c r="F18" s="1">
        <f>E18/C18*100</f>
        <v>13.953488372093023</v>
      </c>
    </row>
    <row r="19" spans="1:7" x14ac:dyDescent="0.3">
      <c r="A19" t="s">
        <v>17</v>
      </c>
      <c r="B19" t="s">
        <v>16</v>
      </c>
      <c r="C19">
        <v>2260</v>
      </c>
      <c r="D19">
        <v>2540</v>
      </c>
      <c r="E19">
        <f>D19-C19</f>
        <v>280</v>
      </c>
      <c r="F19" s="1">
        <f>E19/C19*100</f>
        <v>12.389380530973451</v>
      </c>
    </row>
    <row r="20" spans="1:7" x14ac:dyDescent="0.3">
      <c r="A20" t="s">
        <v>23</v>
      </c>
      <c r="B20" t="s">
        <v>22</v>
      </c>
      <c r="C20">
        <v>1560</v>
      </c>
      <c r="D20">
        <v>1800</v>
      </c>
      <c r="E20">
        <f>D20-C20</f>
        <v>240</v>
      </c>
      <c r="F20" s="1">
        <f>E20/C20*100</f>
        <v>15.384615384615385</v>
      </c>
    </row>
    <row r="21" spans="1:7" x14ac:dyDescent="0.3">
      <c r="A21" t="s">
        <v>31</v>
      </c>
      <c r="B21" t="s">
        <v>30</v>
      </c>
      <c r="C21">
        <v>2050</v>
      </c>
      <c r="D21">
        <v>2500</v>
      </c>
      <c r="E21">
        <f>D21-C21</f>
        <v>450</v>
      </c>
      <c r="F21" s="1">
        <f>E21/C21*100</f>
        <v>21.951219512195124</v>
      </c>
    </row>
    <row r="22" spans="1:7" x14ac:dyDescent="0.3">
      <c r="A22" t="s">
        <v>36</v>
      </c>
      <c r="B22" t="s">
        <v>35</v>
      </c>
      <c r="C22">
        <v>1480</v>
      </c>
      <c r="D22">
        <v>1723</v>
      </c>
      <c r="E22">
        <f>D22-C22</f>
        <v>243</v>
      </c>
      <c r="F22" s="1">
        <f>E22/C22*100</f>
        <v>16.418918918918919</v>
      </c>
    </row>
    <row r="23" spans="1:7" x14ac:dyDescent="0.3">
      <c r="F23" s="1"/>
    </row>
    <row r="26" spans="1:7" x14ac:dyDescent="0.3">
      <c r="G26" t="s">
        <v>45</v>
      </c>
    </row>
  </sheetData>
  <sortState xmlns:xlrd2="http://schemas.microsoft.com/office/spreadsheetml/2017/richdata2" ref="A2:F23">
    <sortCondition descending="1" ref="A2:A2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AR_SalePurchase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hadi</dc:creator>
  <cp:lastModifiedBy>abdul hadi</cp:lastModifiedBy>
  <dcterms:created xsi:type="dcterms:W3CDTF">2025-10-02T13:33:49Z</dcterms:created>
  <dcterms:modified xsi:type="dcterms:W3CDTF">2025-10-09T13:00:11Z</dcterms:modified>
</cp:coreProperties>
</file>