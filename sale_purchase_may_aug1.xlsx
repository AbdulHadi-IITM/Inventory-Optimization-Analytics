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2001_{70663633-9501-4F22-97B5-282DD1679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" sheetId="1" r:id="rId1"/>
    <sheet name="Sale" sheetId="2" r:id="rId2"/>
    <sheet name="Sheet2" sheetId="10" r:id="rId3"/>
    <sheet name="Retail Sale" sheetId="8" r:id="rId4"/>
    <sheet name="Summary" sheetId="3" r:id="rId5"/>
  </sheets>
  <calcPr calcId="191029"/>
  <pivotCaches>
    <pivotCache cacheId="143" r:id="rId6"/>
    <pivotCache cacheId="180" r:id="rId7"/>
    <pivotCache cacheId="184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0" l="1"/>
  <c r="K24" i="10" s="1"/>
  <c r="K23" i="10"/>
  <c r="J23" i="10"/>
  <c r="J22" i="10"/>
  <c r="K22" i="10" s="1"/>
  <c r="K21" i="10"/>
  <c r="J21" i="10"/>
  <c r="J20" i="10"/>
  <c r="K20" i="10" s="1"/>
  <c r="J19" i="10"/>
  <c r="K19" i="10" s="1"/>
  <c r="K18" i="10"/>
  <c r="J18" i="10"/>
  <c r="K17" i="10"/>
  <c r="J17" i="10"/>
  <c r="J16" i="10"/>
  <c r="K16" i="10" s="1"/>
  <c r="K15" i="10"/>
  <c r="J15" i="10"/>
  <c r="J14" i="10"/>
  <c r="K14" i="10" s="1"/>
  <c r="J13" i="10"/>
  <c r="K13" i="10" s="1"/>
  <c r="K12" i="10"/>
  <c r="J12" i="10"/>
  <c r="K11" i="10"/>
  <c r="J11" i="10"/>
  <c r="J10" i="10"/>
  <c r="K10" i="10" s="1"/>
  <c r="K9" i="10"/>
  <c r="J9" i="10"/>
  <c r="J8" i="10"/>
  <c r="K8" i="10" s="1"/>
  <c r="J7" i="10"/>
  <c r="K7" i="10" s="1"/>
  <c r="K6" i="10"/>
  <c r="J6" i="10"/>
  <c r="K5" i="10"/>
  <c r="J5" i="10"/>
  <c r="J4" i="10"/>
  <c r="K4" i="10" s="1"/>
  <c r="C9" i="10"/>
  <c r="F5" i="2"/>
  <c r="F9" i="2"/>
  <c r="F10" i="2"/>
  <c r="F30" i="2"/>
  <c r="F3" i="2"/>
  <c r="F4" i="2"/>
  <c r="C3" i="10" s="1"/>
  <c r="F6" i="2"/>
  <c r="F7" i="2"/>
  <c r="F8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2" i="1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80" i="3"/>
  <c r="F82" i="3"/>
  <c r="F83" i="3"/>
  <c r="F84" i="3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81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80" i="3"/>
  <c r="F80" i="3"/>
  <c r="F2" i="2"/>
  <c r="F6" i="1" l="1"/>
  <c r="F5" i="1"/>
  <c r="F4" i="1"/>
  <c r="F3" i="1"/>
  <c r="F29" i="1"/>
  <c r="F18" i="1"/>
  <c r="F7" i="1"/>
  <c r="F28" i="1"/>
  <c r="F39" i="1"/>
  <c r="F38" i="1"/>
  <c r="F27" i="1"/>
  <c r="F26" i="1"/>
  <c r="F36" i="1"/>
  <c r="F25" i="1"/>
  <c r="F35" i="1"/>
  <c r="F24" i="1"/>
  <c r="F12" i="1"/>
  <c r="F17" i="1"/>
  <c r="F16" i="1"/>
  <c r="F15" i="1"/>
  <c r="F37" i="1"/>
  <c r="F14" i="1"/>
  <c r="F13" i="1"/>
  <c r="F34" i="1"/>
  <c r="F23" i="1"/>
  <c r="F11" i="1"/>
  <c r="F33" i="1"/>
  <c r="F22" i="1"/>
  <c r="F10" i="1"/>
  <c r="F32" i="1"/>
  <c r="F21" i="1"/>
  <c r="F31" i="1"/>
  <c r="F20" i="1"/>
  <c r="F9" i="1"/>
  <c r="F30" i="1"/>
  <c r="F19" i="1"/>
  <c r="F8" i="1"/>
  <c r="C4" i="10" l="1"/>
</calcChain>
</file>

<file path=xl/sharedStrings.xml><?xml version="1.0" encoding="utf-8"?>
<sst xmlns="http://schemas.openxmlformats.org/spreadsheetml/2006/main" count="502" uniqueCount="77">
  <si>
    <t>Date</t>
  </si>
  <si>
    <t>Item Code</t>
  </si>
  <si>
    <t>Item Description</t>
  </si>
  <si>
    <t>Rate</t>
  </si>
  <si>
    <t>Total Amount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</si>
  <si>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</si>
  <si>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</si>
  <si>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</si>
  <si>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</si>
  <si>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</si>
  <si>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</si>
  <si>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</si>
  <si>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</si>
  <si>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</si>
  <si>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</si>
  <si>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</si>
  <si>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</si>
  <si>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</si>
  <si>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</si>
  <si>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</si>
  <si>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</si>
  <si>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</si>
  <si>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</si>
  <si>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</si>
  <si>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</si>
  <si>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</si>
  <si>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</si>
  <si>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</si>
  <si>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</si>
  <si>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</si>
  <si>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</si>
  <si>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</si>
  <si>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</si>
  <si>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</si>
  <si>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</si>
  <si>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</si>
  <si>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</si>
  <si>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</si>
  <si>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</si>
  <si>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</si>
  <si>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</si>
  <si>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</si>
  <si>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</si>
  <si>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</si>
  <si>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</si>
  <si>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</si>
  <si>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</si>
  <si>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Total Purchase Records</t>
  </si>
  <si>
    <t>Total Sales Records</t>
  </si>
  <si>
    <t>Unique Purchase Items</t>
  </si>
  <si>
    <t>Unique Sales Items</t>
  </si>
  <si>
    <t>Total Purchase Value</t>
  </si>
  <si>
    <t>Total Sales Revenue</t>
  </si>
  <si>
    <t>Carpenter</t>
  </si>
  <si>
    <t>Retail</t>
  </si>
  <si>
    <t xml:space="preserve"> </t>
  </si>
  <si>
    <t>Coustomer Type</t>
  </si>
  <si>
    <t>Column Labels</t>
  </si>
  <si>
    <t>ABC Classification</t>
  </si>
  <si>
    <t>% of Total Sales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</si>
  <si>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</si>
  <si>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</si>
  <si>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</si>
  <si>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</si>
  <si>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</si>
  <si>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</si>
  <si>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</si>
  <si>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</si>
  <si>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Not Available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</si>
  <si>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</si>
  <si>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</si>
  <si>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</si>
  <si>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</si>
  <si>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</si>
  <si>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Transactions</t>
  </si>
  <si>
    <r>
      <t>=B4-B5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(i.e. Sales − Purchase)</t>
    </r>
  </si>
  <si>
    <t>BSF(B)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</si>
</sst>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8"/>
      <color theme="1"/>
      <name val="Calibri"/>
      <family val="2"/>
      <scheme val="minor"/>
    </font>
    <font>
      <b/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/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Lit>
              <c:formatCode>General</c:formatCode>
              <c:ptCount val="2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</c:numLit>
          </c:cat>
          <c:val>
            <c:numLit>
              <c:formatCode>General</c:formatCode>
              <c:ptCount val="21"/>
              <c:pt idx="0">
                <c:v>38760</c:v>
              </c:pt>
              <c:pt idx="1">
                <c:v>57500</c:v>
              </c:pt>
              <c:pt idx="2">
                <c:v>30240</c:v>
              </c:pt>
              <c:pt idx="3">
                <c:v>40640</c:v>
              </c:pt>
              <c:pt idx="4">
                <c:v>35280</c:v>
              </c:pt>
              <c:pt idx="5">
                <c:v>24750</c:v>
              </c:pt>
              <c:pt idx="6">
                <c:v>15400</c:v>
              </c:pt>
              <c:pt idx="7">
                <c:v>9300</c:v>
              </c:pt>
              <c:pt idx="8">
                <c:v>21340</c:v>
              </c:pt>
              <c:pt idx="9">
                <c:v>28710</c:v>
              </c:pt>
              <c:pt idx="10">
                <c:v>27550</c:v>
              </c:pt>
              <c:pt idx="11">
                <c:v>15840</c:v>
              </c:pt>
              <c:pt idx="12">
                <c:v>11360</c:v>
              </c:pt>
              <c:pt idx="13">
                <c:v>24180</c:v>
              </c:pt>
              <c:pt idx="14">
                <c:v>25200</c:v>
              </c:pt>
              <c:pt idx="15">
                <c:v>176710</c:v>
              </c:pt>
              <c:pt idx="16">
                <c:v>163440</c:v>
              </c:pt>
              <c:pt idx="17">
                <c:v>143550</c:v>
              </c:pt>
              <c:pt idx="18">
                <c:v>133400</c:v>
              </c:pt>
              <c:pt idx="19">
                <c:v>88200</c:v>
              </c:pt>
              <c:pt idx="20">
                <c:v>40600</c:v>
              </c:pt>
            </c:numLit>
          </c:val>
          <c:extLst>
            <c:ext xmlns:c16="http://schemas.microsoft.com/office/drawing/2014/chart" uri="{C3380CC4-5D6E-409C-BE32-E72D297353CC}">
              <c16:uniqueId val="{00000000-89C3-4CFB-BEEE-2E0C8BB18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88683456"/>
        <c:axId val="1988684896"/>
      </c:barChart>
      <c:catAx>
        <c:axId val="1988683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84896"/>
        <c:crosses val="autoZero"/>
        <c:auto val="1"/>
        <c:lblAlgn val="ctr"/>
        <c:lblOffset val="100"/>
        <c:noMultiLvlLbl val="0"/>
      </c:catAx>
      <c:valAx>
        <c:axId val="198868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[sale_purchase_may_aug1.xlsx]Summary!PivotTable6</c:name>
    <c:fmtId val="8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Summary!$D$49:$D$50</c:f>
              <c:strCache>
                <c:ptCount val="1"/>
                <c:pt idx="0">
                  <c:v>Carpenter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Summary!$D$51:$D$72</c:f>
              <c:numCache>
                <c:formatCode>General</c:formatCode>
                <c:ptCount val="21"/>
                <c:pt idx="0">
                  <c:v>6892</c:v>
                </c:pt>
                <c:pt idx="2">
                  <c:v>7200</c:v>
                </c:pt>
                <c:pt idx="3">
                  <c:v>22860</c:v>
                </c:pt>
                <c:pt idx="4">
                  <c:v>11760</c:v>
                </c:pt>
                <c:pt idx="5">
                  <c:v>3960</c:v>
                </c:pt>
                <c:pt idx="6">
                  <c:v>2496</c:v>
                </c:pt>
                <c:pt idx="7">
                  <c:v>1460</c:v>
                </c:pt>
                <c:pt idx="8">
                  <c:v>2030</c:v>
                </c:pt>
                <c:pt idx="9">
                  <c:v>12610</c:v>
                </c:pt>
                <c:pt idx="10">
                  <c:v>3940</c:v>
                </c:pt>
                <c:pt idx="11">
                  <c:v>1320</c:v>
                </c:pt>
                <c:pt idx="12">
                  <c:v>3550</c:v>
                </c:pt>
                <c:pt idx="13">
                  <c:v>6853</c:v>
                </c:pt>
                <c:pt idx="14">
                  <c:v>2800</c:v>
                </c:pt>
                <c:pt idx="15">
                  <c:v>43100</c:v>
                </c:pt>
                <c:pt idx="16">
                  <c:v>66470</c:v>
                </c:pt>
                <c:pt idx="17">
                  <c:v>24700</c:v>
                </c:pt>
                <c:pt idx="18">
                  <c:v>63800</c:v>
                </c:pt>
                <c:pt idx="19">
                  <c:v>31500</c:v>
                </c:pt>
                <c:pt idx="20">
                  <c:v>10395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6-4D5D-9180-DED65B8C1366}"/>
            </c:ext>
          </c:extLst>
        </c:ser>
        <c:ser>
          <c:idx val="1"/>
          <c:order val="1"/>
          <c:tx>
            <c:strRef>
              <c:f>Summary!$E$49:$E$50</c:f>
              <c:strCache>
                <c:ptCount val="1"/>
                <c:pt idx="0">
                  <c:v>Retail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Summary!$E$51:$E$72</c:f>
              <c:numCache>
                <c:formatCode>General</c:formatCode>
                <c:ptCount val="21"/>
                <c:pt idx="1">
                  <c:v>2500</c:v>
                </c:pt>
                <c:pt idx="2">
                  <c:v>1800</c:v>
                </c:pt>
                <c:pt idx="3">
                  <c:v>2540</c:v>
                </c:pt>
                <c:pt idx="4">
                  <c:v>5880</c:v>
                </c:pt>
                <c:pt idx="5">
                  <c:v>990</c:v>
                </c:pt>
                <c:pt idx="8">
                  <c:v>1015</c:v>
                </c:pt>
                <c:pt idx="9">
                  <c:v>970</c:v>
                </c:pt>
                <c:pt idx="10">
                  <c:v>985</c:v>
                </c:pt>
                <c:pt idx="13">
                  <c:v>1246</c:v>
                </c:pt>
                <c:pt idx="14">
                  <c:v>1400</c:v>
                </c:pt>
                <c:pt idx="16">
                  <c:v>7820</c:v>
                </c:pt>
                <c:pt idx="19">
                  <c:v>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6-4D5D-9180-DED65B8C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5916960"/>
        <c:axId val="215913120"/>
      </c:barChart>
      <c:catAx>
        <c:axId val="21591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3120"/>
        <c:crosses val="autoZero"/>
        <c:auto val="1"/>
        <c:lblAlgn val="ctr"/>
        <c:lblOffset val="100"/>
        <c:noMultiLvlLbl val="0"/>
      </c:catAx>
      <c:valAx>
        <c:axId val="215913120"/>
        <c:scaling>
          <c:orientation val="minMax"/>
          <c:max val="17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6960"/>
        <c:crosses val="autoZero"/>
        <c:crossBetween val="between"/>
        <c:majorUnit val="20000"/>
        <c:minorUnit val="4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Summary!$D$79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Summary!$D$80:$D$100</c:f>
              <c:numCache>
                <c:formatCode>General</c:formatCode>
                <c:ptCount val="21"/>
                <c:pt idx="0">
                  <c:v>176710</c:v>
                </c:pt>
                <c:pt idx="1">
                  <c:v>163440</c:v>
                </c:pt>
                <c:pt idx="2">
                  <c:v>143550</c:v>
                </c:pt>
                <c:pt idx="3">
                  <c:v>133400</c:v>
                </c:pt>
                <c:pt idx="4">
                  <c:v>88200</c:v>
                </c:pt>
                <c:pt idx="5">
                  <c:v>57500</c:v>
                </c:pt>
                <c:pt idx="6">
                  <c:v>40640</c:v>
                </c:pt>
                <c:pt idx="7">
                  <c:v>40600</c:v>
                </c:pt>
                <c:pt idx="8">
                  <c:v>38760</c:v>
                </c:pt>
                <c:pt idx="9">
                  <c:v>35280</c:v>
                </c:pt>
                <c:pt idx="10">
                  <c:v>30240</c:v>
                </c:pt>
                <c:pt idx="11">
                  <c:v>28710</c:v>
                </c:pt>
                <c:pt idx="12">
                  <c:v>27550</c:v>
                </c:pt>
                <c:pt idx="13">
                  <c:v>25200</c:v>
                </c:pt>
                <c:pt idx="14">
                  <c:v>24750</c:v>
                </c:pt>
                <c:pt idx="15">
                  <c:v>24180</c:v>
                </c:pt>
                <c:pt idx="16">
                  <c:v>21340</c:v>
                </c:pt>
                <c:pt idx="17">
                  <c:v>15840</c:v>
                </c:pt>
                <c:pt idx="18">
                  <c:v>15400</c:v>
                </c:pt>
                <c:pt idx="19">
                  <c:v>11360</c:v>
                </c:pt>
                <c:pt idx="20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C-498E-BE2E-B8B89CCD6ED1}"/>
            </c:ext>
          </c:extLst>
        </c:ser>
        <c:ser>
          <c:idx val="1"/>
          <c:order val="1"/>
          <c:tx>
            <c:strRef>
              <c:f>Summary!$E$79</c:f>
              <c:strCache>
                <c:ptCount val="1"/>
                <c:pt idx="0">
                  <c:v>%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Summary!$E$80:$E$100</c:f>
              <c:numCache>
                <c:formatCode>General</c:formatCode>
                <c:ptCount val="21"/>
                <c:pt idx="0">
                  <c:v>0.15340075524111291</c:v>
                </c:pt>
                <c:pt idx="1">
                  <c:v>0.14188115803637311</c:v>
                </c:pt>
                <c:pt idx="2">
                  <c:v>0.12461478362776163</c:v>
                </c:pt>
                <c:pt idx="3">
                  <c:v>0.11580363731064716</c:v>
                </c:pt>
                <c:pt idx="4">
                  <c:v>7.6565823169408395E-2</c:v>
                </c:pt>
                <c:pt idx="5">
                  <c:v>4.9915360909761709E-2</c:v>
                </c:pt>
                <c:pt idx="6">
                  <c:v>3.5279308997786363E-2</c:v>
                </c:pt>
                <c:pt idx="7">
                  <c:v>3.5244585268457834E-2</c:v>
                </c:pt>
                <c:pt idx="8">
                  <c:v>3.364729371934546E-2</c:v>
                </c:pt>
                <c:pt idx="9">
                  <c:v>3.0626329267763357E-2</c:v>
                </c:pt>
                <c:pt idx="10">
                  <c:v>2.6251139372368594E-2</c:v>
                </c:pt>
                <c:pt idx="11">
                  <c:v>2.4922956725552323E-2</c:v>
                </c:pt>
                <c:pt idx="12">
                  <c:v>2.3915968575024957E-2</c:v>
                </c:pt>
                <c:pt idx="13">
                  <c:v>2.1875949476973827E-2</c:v>
                </c:pt>
                <c:pt idx="14">
                  <c:v>2.1485307522027867E-2</c:v>
                </c:pt>
                <c:pt idx="15">
                  <c:v>2.0990494379096315E-2</c:v>
                </c:pt>
                <c:pt idx="16">
                  <c:v>1.8525109596770693E-2</c:v>
                </c:pt>
                <c:pt idx="17">
                  <c:v>1.3750596814097835E-2</c:v>
                </c:pt>
                <c:pt idx="18">
                  <c:v>1.3368635791484005E-2</c:v>
                </c:pt>
                <c:pt idx="19">
                  <c:v>9.8615391293024879E-3</c:v>
                </c:pt>
                <c:pt idx="20">
                  <c:v>8.073267068883198E-3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C-498E-BE2E-B8B89CCD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3405312"/>
        <c:axId val="1973403872"/>
      </c:barChart>
      <c:lineChart>
        <c:grouping val="standard"/>
        <c:varyColors val="0"/>
        <c:ser>
          <c:idx val="2"/>
          <c:order val="2"/>
          <c:tx>
            <c:strRef>
              <c:f>Summary!$F$79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Summary!$F$80:$F$100</c:f>
              <c:numCache>
                <c:formatCode>General</c:formatCode>
                <c:ptCount val="21"/>
                <c:pt idx="0">
                  <c:v>0.15340075524111291</c:v>
                </c:pt>
                <c:pt idx="1">
                  <c:v>0.29528191327748599</c:v>
                </c:pt>
                <c:pt idx="2">
                  <c:v>0.41989669690524761</c:v>
                </c:pt>
                <c:pt idx="3">
                  <c:v>0.5357003342158948</c:v>
                </c:pt>
                <c:pt idx="4">
                  <c:v>0.61226615738530321</c:v>
                </c:pt>
                <c:pt idx="5">
                  <c:v>0.66218151829506489</c:v>
                </c:pt>
                <c:pt idx="6">
                  <c:v>0.6974608272928513</c:v>
                </c:pt>
                <c:pt idx="7">
                  <c:v>0.73270541256130917</c:v>
                </c:pt>
                <c:pt idx="8">
                  <c:v>0.76635270628065466</c:v>
                </c:pt>
                <c:pt idx="9">
                  <c:v>0.79697903554841798</c:v>
                </c:pt>
                <c:pt idx="10">
                  <c:v>0.82323017492078654</c:v>
                </c:pt>
                <c:pt idx="11">
                  <c:v>0.84815313164633888</c:v>
                </c:pt>
                <c:pt idx="12">
                  <c:v>0.87206910022136386</c:v>
                </c:pt>
                <c:pt idx="13">
                  <c:v>0.89394504969833766</c:v>
                </c:pt>
                <c:pt idx="14">
                  <c:v>0.91543035722036548</c:v>
                </c:pt>
                <c:pt idx="15">
                  <c:v>0.93642085159946176</c:v>
                </c:pt>
                <c:pt idx="16">
                  <c:v>0.95494596119623243</c:v>
                </c:pt>
                <c:pt idx="17">
                  <c:v>0.96869655801033028</c:v>
                </c:pt>
                <c:pt idx="18">
                  <c:v>0.98206519380181423</c:v>
                </c:pt>
                <c:pt idx="19">
                  <c:v>0.99192673293111677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C-498E-BE2E-B8B89CCD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247296"/>
        <c:axId val="1994555552"/>
      </c:lineChart>
      <c:catAx>
        <c:axId val="197340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03872"/>
        <c:crosses val="autoZero"/>
        <c:auto val="1"/>
        <c:lblAlgn val="ctr"/>
        <c:lblOffset val="100"/>
        <c:noMultiLvlLbl val="0"/>
      </c:catAx>
      <c:valAx>
        <c:axId val="19734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05312"/>
        <c:crosses val="autoZero"/>
        <c:crossBetween val="between"/>
      </c:valAx>
      <c:valAx>
        <c:axId val="1994555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47296"/>
        <c:crosses val="max"/>
        <c:crossBetween val="between"/>
      </c:valAx>
      <c:catAx>
        <c:axId val="1986247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9945555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[sale_purchase_may_aug1.xlsx]Summary!PivotTable4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Revenue Share by Customer Type (May–Aug 2024)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22-403C-8D80-C9AEF025F2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22-403C-8D80-C9AEF025F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Summary!$F$3:$F$5</c:f>
              <c:strCache>
                <c:ptCount val="2"/>
                <c:pt idx="0">
                  <c:v>Carpenter</c:v>
                </c:pt>
                <c:pt idx="1">
                  <c:v>Retail</c:v>
                </c:pt>
              </c:strCache>
            </c:strRef>
          </c:cat>
          <c:val>
            <c:numRef>
              <c:f>Summary!$G$3:$G$5</c:f>
              <c:numCache>
                <c:formatCode>General</c:formatCode>
                <c:ptCount val="2"/>
                <c:pt idx="0">
                  <c:v>329696</c:v>
                </c:pt>
                <c:pt idx="1">
                  <c:v>33446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2-403C-8D80-C9AEF025F20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[sale_purchase_may_aug1.xlsx]Summary!PivotTable3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Summary!$E$9</c:f>
              <c:strCache>
                <c:ptCount val="1"/>
                <c:pt idx="0">
                  <c:v>Sum of Qty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Summary!$D$10:$D$27</c:f>
              <c:strCache>
                <c:ptCount val="17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(F)</c:v>
                </c:pt>
                <c:pt idx="4">
                  <c:v>Chair Frame (A)</c:v>
                </c:pt>
                <c:pt idx="5">
                  <c:v>Chair Frame (B)</c:v>
                </c:pt>
                <c:pt idx="6">
                  <c:v>CTF (A)</c:v>
                </c:pt>
                <c:pt idx="7">
                  <c:v>CTF (B)</c:v>
                </c:pt>
                <c:pt idx="8">
                  <c:v>CTF (C)</c:v>
                </c:pt>
                <c:pt idx="9">
                  <c:v>CTSF (A)</c:v>
                </c:pt>
                <c:pt idx="10">
                  <c:v>DCF (B)</c:v>
                </c:pt>
                <c:pt idx="11">
                  <c:v>DCF (D)</c:v>
                </c:pt>
                <c:pt idx="12">
                  <c:v>SSF (A)</c:v>
                </c:pt>
                <c:pt idx="13">
                  <c:v>SSF (B)</c:v>
                </c:pt>
                <c:pt idx="14">
                  <c:v>SSF (C)</c:v>
                </c:pt>
                <c:pt idx="15">
                  <c:v>SSF (D)</c:v>
                </c:pt>
                <c:pt idx="16">
                  <c:v>Teak Sawn Timber</c:v>
                </c:pt>
              </c:strCache>
            </c:strRef>
          </c:cat>
          <c:val>
            <c:numRef>
              <c:f>Summary!$E$10:$E$27</c:f>
              <c:numCache>
                <c:formatCode>General</c:formatCode>
                <c:ptCount val="17"/>
                <c:pt idx="0">
                  <c:v>8</c:v>
                </c:pt>
                <c:pt idx="1">
                  <c:v>2</c:v>
                </c:pt>
                <c:pt idx="2">
                  <c:v>14</c:v>
                </c:pt>
                <c:pt idx="3">
                  <c:v>18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18</c:v>
                </c:pt>
                <c:pt idx="8">
                  <c:v>8</c:v>
                </c:pt>
                <c:pt idx="9">
                  <c:v>15</c:v>
                </c:pt>
                <c:pt idx="10">
                  <c:v>3</c:v>
                </c:pt>
                <c:pt idx="11">
                  <c:v>10</c:v>
                </c:pt>
                <c:pt idx="12">
                  <c:v>8</c:v>
                </c:pt>
                <c:pt idx="13">
                  <c:v>14</c:v>
                </c:pt>
                <c:pt idx="14">
                  <c:v>2</c:v>
                </c:pt>
                <c:pt idx="15">
                  <c:v>13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7-4273-BFE0-CEF7A370A76E}"/>
            </c:ext>
          </c:extLst>
        </c:ser>
        <c:ser>
          <c:idx val="1"/>
          <c:order val="1"/>
          <c:tx>
            <c:strRef>
              <c:f>Summary!$F$9</c:f>
              <c:strCache>
                <c:ptCount val="1"/>
                <c:pt idx="0">
                  <c:v>Sum of Total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Summary!$D$10:$D$27</c:f>
              <c:strCache>
                <c:ptCount val="17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(F)</c:v>
                </c:pt>
                <c:pt idx="4">
                  <c:v>Chair Frame (A)</c:v>
                </c:pt>
                <c:pt idx="5">
                  <c:v>Chair Frame (B)</c:v>
                </c:pt>
                <c:pt idx="6">
                  <c:v>CTF (A)</c:v>
                </c:pt>
                <c:pt idx="7">
                  <c:v>CTF (B)</c:v>
                </c:pt>
                <c:pt idx="8">
                  <c:v>CTF (C)</c:v>
                </c:pt>
                <c:pt idx="9">
                  <c:v>CTSF (A)</c:v>
                </c:pt>
                <c:pt idx="10">
                  <c:v>DCF (B)</c:v>
                </c:pt>
                <c:pt idx="11">
                  <c:v>DCF (D)</c:v>
                </c:pt>
                <c:pt idx="12">
                  <c:v>SSF (A)</c:v>
                </c:pt>
                <c:pt idx="13">
                  <c:v>SSF (B)</c:v>
                </c:pt>
                <c:pt idx="14">
                  <c:v>SSF (C)</c:v>
                </c:pt>
                <c:pt idx="15">
                  <c:v>SSF (D)</c:v>
                </c:pt>
                <c:pt idx="16">
                  <c:v>Teak Sawn Timber</c:v>
                </c:pt>
              </c:strCache>
            </c:strRef>
          </c:cat>
          <c:val>
            <c:numRef>
              <c:f>Summary!$F$10:$F$27</c:f>
              <c:numCache>
                <c:formatCode>General</c:formatCode>
                <c:ptCount val="17"/>
                <c:pt idx="0">
                  <c:v>11840</c:v>
                </c:pt>
                <c:pt idx="1">
                  <c:v>4100</c:v>
                </c:pt>
                <c:pt idx="2">
                  <c:v>21840</c:v>
                </c:pt>
                <c:pt idx="3">
                  <c:v>30960</c:v>
                </c:pt>
                <c:pt idx="4">
                  <c:v>2400</c:v>
                </c:pt>
                <c:pt idx="5">
                  <c:v>3360</c:v>
                </c:pt>
                <c:pt idx="6">
                  <c:v>4599</c:v>
                </c:pt>
                <c:pt idx="7">
                  <c:v>15840</c:v>
                </c:pt>
                <c:pt idx="8">
                  <c:v>6832</c:v>
                </c:pt>
                <c:pt idx="9">
                  <c:v>13350</c:v>
                </c:pt>
                <c:pt idx="10">
                  <c:v>1740</c:v>
                </c:pt>
                <c:pt idx="11">
                  <c:v>5400</c:v>
                </c:pt>
                <c:pt idx="12">
                  <c:v>27000</c:v>
                </c:pt>
                <c:pt idx="13">
                  <c:v>44100</c:v>
                </c:pt>
                <c:pt idx="14">
                  <c:v>7460</c:v>
                </c:pt>
                <c:pt idx="15">
                  <c:v>56290</c:v>
                </c:pt>
                <c:pt idx="16">
                  <c:v>13470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7-4273-BFE0-CEF7A370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9723312"/>
        <c:axId val="129721872"/>
      </c:barChart>
      <c:catAx>
        <c:axId val="129723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21872"/>
        <c:crosses val="autoZero"/>
        <c:auto val="1"/>
        <c:lblAlgn val="ctr"/>
        <c:lblOffset val="100"/>
        <c:noMultiLvlLbl val="0"/>
      </c:catAx>
      <c:valAx>
        <c:axId val="12972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2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167640</xdr:rowOff>
    </xdr:from>
    <xdr:to>
      <xdr:col>6</xdr:col>
      <xdr:colOff>365760</xdr:colOff>
      <xdr:row>42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14D1F-0F7D-9A85-468B-EDF56636D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628650</xdr:colOff>
      <xdr:row>48</xdr:row>
      <xdr:rowOff>68580</xdr:rowOff>
    </xdr:from>
    <xdr:to>
      <xdr:col>10</xdr:col>
      <xdr:colOff>655320</xdr:colOff>
      <xdr:row>73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42BE91-73A7-8C58-BE22-DB26CC72D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83</xdr:row>
      <xdr:rowOff>118110</xdr:rowOff>
    </xdr:from>
    <xdr:to>
      <xdr:col>10</xdr:col>
      <xdr:colOff>1005840</xdr:colOff>
      <xdr:row>98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EE7798-2CBE-BEA1-62E5-A2B6C0774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297180</xdr:colOff>
      <xdr:row>1</xdr:row>
      <xdr:rowOff>45720</xdr:rowOff>
    </xdr:from>
    <xdr:to>
      <xdr:col>11</xdr:col>
      <xdr:colOff>544830</xdr:colOff>
      <xdr:row>6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9CC355-71C8-4F9B-B5D0-83FD94FE4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891540</xdr:colOff>
      <xdr:row>9</xdr:row>
      <xdr:rowOff>106680</xdr:rowOff>
    </xdr:from>
    <xdr:to>
      <xdr:col>10</xdr:col>
      <xdr:colOff>449580</xdr:colOff>
      <xdr:row>24</xdr:row>
      <xdr:rowOff>144780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033D77-FC0D-42E5-AB5D-FD31DF848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38.805593055557" createdVersion="8" refreshedVersion="8" minRefreshableVersion="3" recordCount="75" xr:uid="{2BC14EEB-0A83-4E68-9978-E069B5F189EB}">
  <cacheSource type="worksheet">
    <worksheetSource ref="A1:G68" sheet="Sale"/>
  </cacheSource>
  <cacheFields count="7">
    <cacheField name="Date" numFmtId="14">
      <sharedItems containsNonDate="0" containsDate="1" containsString="0" containsBlank="1" minDate="2025-05-02T00:00:00" maxDate="2025-08-30T00:00:00"/>
    </cacheField>
    <cacheField name="Item Code" numFmtId="0">
      <sharedItems containsBlank="1" count="22">
        <s v="CTSF (A)"/>
        <s v="DCF (B)"/>
        <s v="CTF (C)"/>
        <s v="Dining Chair Frame (A)"/>
        <s v="DCF (C)"/>
        <s v="BSF (D)"/>
        <s v="SSF (B)"/>
        <s v="SSF (D)"/>
        <s v="BSF (F)"/>
        <s v="SSF (E)"/>
        <s v="DCF (D)"/>
        <s v="CTF (A)"/>
        <s v="Teak Sawn Timber"/>
        <s v="BSF (B)"/>
        <s v="Chair Frame (B)"/>
        <s v="SSF (A)"/>
        <s v="BSF (A)"/>
        <s v="Chair Frame (A)"/>
        <s v="CTF (B)"/>
        <s v="SSF (C)"/>
        <s v="BSF (C)"/>
        <m/>
      </sharedItems>
    </cacheField>
    <cacheField name="Item Description" numFmtId="0">
      <sharedItems containsBlank="1"/>
    </cacheField>
    <cacheField name="Qty" numFmtId="0">
      <sharedItems containsString="0" containsBlank="1" containsNumber="1" containsInteger="1" minValue="1" maxValue="7"/>
    </cacheField>
    <cacheField name="Rate" numFmtId="0">
      <sharedItems containsString="0" containsBlank="1" containsNumber="1" containsInteger="1" minValue="623" maxValue="6300"/>
    </cacheField>
    <cacheField name="Total Amount" numFmtId="0">
      <sharedItems containsString="0" containsBlank="1" containsNumber="1" containsInteger="1" minValue="623" maxValue="21550"/>
    </cacheField>
    <cacheField name="Coustomer Type" numFmtId="0">
      <sharedItems containsBlank="1" count="5">
        <s v="Not Available"/>
        <s v="Carpenter"/>
        <s v="Retail"/>
        <m/>
        <s v="Carpen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39.600006828703" createdVersion="8" refreshedVersion="8" minRefreshableVersion="3" recordCount="38" xr:uid="{A4DE49E9-2BF3-437A-82A6-B2D7E54335A5}">
  <cacheSource type="worksheet">
    <worksheetSource ref="A1:F39" sheet="Purchase"/>
  </cacheSource>
  <cacheFields count="6">
    <cacheField name="Date" numFmtId="14">
      <sharedItems containsSemiMixedTypes="0" containsNonDate="0" containsDate="1" containsString="0" minDate="2025-05-04T00:00:00" maxDate="2025-09-01T00:00:00"/>
    </cacheField>
    <cacheField name="Item Code" numFmtId="0">
      <sharedItems count="21">
        <s v="BSF (A)"/>
        <s v="Chair Frame (B)"/>
        <s v="SSF (B)"/>
        <s v="CTSF (A)"/>
        <s v="BSF (C)"/>
        <s v="SSF (A)"/>
        <s v="CTF (C)"/>
        <s v="Teak Sawn Timber"/>
        <s v="SSF (D)"/>
        <s v="CTF (A)"/>
        <s v="BSF (B)"/>
        <s v="BSF (F)"/>
        <s v="Chair Frame (A)"/>
        <s v="CTF (B)"/>
        <s v="DCF (D)"/>
        <s v="SSF (C)"/>
        <s v="DCF (B)"/>
        <s v="BSF (D)"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containsInteger="1" minValue="1" maxValue="9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containsInteger="1" minValue="1680" maxValue="23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39.600321180558" createdVersion="8" refreshedVersion="8" minRefreshableVersion="3" recordCount="66" xr:uid="{BB607A7A-E069-4B29-884E-FFD7FFACA819}">
  <cacheSource type="worksheet">
    <worksheetSource ref="A1:G67" sheet="Sale"/>
  </cacheSource>
  <cacheFields count="7">
    <cacheField name="Date" numFmtId="14">
      <sharedItems containsSemiMixedTypes="0" containsNonDate="0" containsDate="1" containsString="0" minDate="2025-05-02T00:00:00" maxDate="2025-08-30T00:00:00"/>
    </cacheField>
    <cacheField name="Item Code" numFmtId="0">
      <sharedItems count="21">
        <s v="CTSF (A)"/>
        <s v="DCF (B)"/>
        <s v="BSF(B)"/>
        <s v="SSF (C)"/>
        <s v="Dining Chair Frame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B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containsInteger="1" minValue="1" maxValue="7"/>
    </cacheField>
    <cacheField name="Rate" numFmtId="0">
      <sharedItems containsSemiMixedTypes="0" containsString="0" containsNumber="1" containsInteger="1" minValue="623" maxValue="6300"/>
    </cacheField>
    <cacheField name="Total Amount" numFmtId="0">
      <sharedItems containsSemiMixedTypes="0" containsString="0" containsNumber="1" containsInteger="1" minValue="623" maxValue="21550"/>
    </cacheField>
    <cacheField name="Co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d v="2025-05-02T00:00:00"/>
    <x v="0"/>
    <s v="Centre Table Side Frame (A)"/>
    <n v="1"/>
    <n v="985"/>
    <n v="985"/>
    <x v="0"/>
  </r>
  <r>
    <d v="2025-05-03T00:00:00"/>
    <x v="1"/>
    <s v="Dining Chair Frame (B)"/>
    <n v="2"/>
    <n v="660"/>
    <n v="1320"/>
    <x v="1"/>
  </r>
  <r>
    <d v="2025-05-03T00:00:00"/>
    <x v="2"/>
    <s v="Centre Table Frame (C)"/>
    <n v="3"/>
    <n v="970"/>
    <n v="2910"/>
    <x v="1"/>
  </r>
  <r>
    <d v="2025-05-10T00:00:00"/>
    <x v="3"/>
    <s v="Dining Chair Frame (A)"/>
    <n v="1"/>
    <n v="700"/>
    <n v="700"/>
    <x v="2"/>
  </r>
  <r>
    <d v="2025-05-18T00:00:00"/>
    <x v="4"/>
    <s v="Dining Chair Frame (C)"/>
    <n v="2"/>
    <n v="710"/>
    <n v="1420"/>
    <x v="1"/>
  </r>
  <r>
    <d v="2025-05-19T00:00:00"/>
    <x v="5"/>
    <s v="Bed Side Frame (D)"/>
    <n v="1"/>
    <n v="2540"/>
    <n v="2540"/>
    <x v="1"/>
  </r>
  <r>
    <d v="2025-05-19T00:00:00"/>
    <x v="6"/>
    <s v="Sofa Side Frame (B)"/>
    <n v="3"/>
    <n v="3910"/>
    <n v="11730"/>
    <x v="1"/>
  </r>
  <r>
    <d v="2025-05-20T00:00:00"/>
    <x v="7"/>
    <s v="Sofa Side Frame (D)"/>
    <n v="3"/>
    <n v="5800"/>
    <n v="17400"/>
    <x v="1"/>
  </r>
  <r>
    <d v="2025-05-21T00:00:00"/>
    <x v="8"/>
    <s v="Bed Side Frame (F)"/>
    <n v="2"/>
    <n v="1960"/>
    <n v="3920"/>
    <x v="1"/>
  </r>
  <r>
    <d v="2025-05-21T00:00:00"/>
    <x v="9"/>
    <s v="Sofa Side Frame (E)"/>
    <n v="3"/>
    <n v="6300"/>
    <n v="18900"/>
    <x v="0"/>
  </r>
  <r>
    <d v="2025-05-23T00:00:00"/>
    <x v="10"/>
    <s v="Dining Chair Frame (D)"/>
    <n v="2"/>
    <n v="623"/>
    <n v="1246"/>
    <x v="0"/>
  </r>
  <r>
    <d v="2025-05-25T00:00:00"/>
    <x v="2"/>
    <s v="Centre Table Frame (C)"/>
    <n v="2"/>
    <n v="970"/>
    <n v="1940"/>
    <x v="0"/>
  </r>
  <r>
    <d v="2025-05-31T00:00:00"/>
    <x v="6"/>
    <s v="Sofa Side Frame (B)"/>
    <n v="1"/>
    <n v="3910"/>
    <n v="3910"/>
    <x v="2"/>
  </r>
  <r>
    <d v="2025-06-05T00:00:00"/>
    <x v="3"/>
    <s v="Dining Chair Frame (A)"/>
    <n v="4"/>
    <n v="700"/>
    <n v="2800"/>
    <x v="1"/>
  </r>
  <r>
    <d v="2025-06-09T00:00:00"/>
    <x v="10"/>
    <s v="Dining Chair Frame (D)"/>
    <n v="2"/>
    <n v="623"/>
    <n v="1246"/>
    <x v="1"/>
  </r>
  <r>
    <d v="2025-06-12T00:00:00"/>
    <x v="5"/>
    <s v="Bed Side Frame (D)"/>
    <n v="1"/>
    <n v="2540"/>
    <n v="2540"/>
    <x v="1"/>
  </r>
  <r>
    <d v="2025-06-12T00:00:00"/>
    <x v="10"/>
    <s v="Dining Chair Frame (D)"/>
    <n v="2"/>
    <n v="623"/>
    <n v="1246"/>
    <x v="1"/>
  </r>
  <r>
    <d v="2025-06-13T00:00:00"/>
    <x v="11"/>
    <s v="Centre Table Frame (A)"/>
    <n v="2"/>
    <n v="730"/>
    <n v="1460"/>
    <x v="1"/>
  </r>
  <r>
    <d v="2025-06-13T00:00:00"/>
    <x v="12"/>
    <s v="Teak Sawn Timber Different Cut Size"/>
    <n v="5"/>
    <n v="1485"/>
    <n v="7425"/>
    <x v="1"/>
  </r>
  <r>
    <d v="2025-06-17T00:00:00"/>
    <x v="13"/>
    <s v="Bed Side Frame (B)"/>
    <n v="1"/>
    <n v="2500"/>
    <n v="2500"/>
    <x v="2"/>
  </r>
  <r>
    <d v="2025-06-18T00:00:00"/>
    <x v="10"/>
    <s v="Dining Chair Frame (D)"/>
    <n v="2"/>
    <n v="623"/>
    <n v="1246"/>
    <x v="1"/>
  </r>
  <r>
    <d v="2025-06-18T00:00:00"/>
    <x v="2"/>
    <s v="Centre Table Frame (C)"/>
    <n v="4"/>
    <n v="970"/>
    <n v="3880"/>
    <x v="1"/>
  </r>
  <r>
    <d v="2025-06-18T00:00:00"/>
    <x v="3"/>
    <s v="Dining Chair Frame (A)"/>
    <n v="1"/>
    <n v="700"/>
    <n v="700"/>
    <x v="2"/>
  </r>
  <r>
    <d v="2025-06-23T00:00:00"/>
    <x v="14"/>
    <s v="Chair Frame (B)"/>
    <n v="2"/>
    <n v="624"/>
    <n v="1248"/>
    <x v="1"/>
  </r>
  <r>
    <d v="2025-06-23T00:00:00"/>
    <x v="15"/>
    <s v="Sofa Side Frame (A)"/>
    <n v="3"/>
    <n v="4310"/>
    <n v="12930"/>
    <x v="1"/>
  </r>
  <r>
    <d v="2025-06-25T00:00:00"/>
    <x v="14"/>
    <s v="Chair Frame (B)"/>
    <n v="2"/>
    <n v="624"/>
    <n v="1248"/>
    <x v="1"/>
  </r>
  <r>
    <d v="2025-06-25T00:00:00"/>
    <x v="6"/>
    <s v="Sofa Side Frame (B)"/>
    <n v="4"/>
    <n v="3910"/>
    <n v="15640"/>
    <x v="1"/>
  </r>
  <r>
    <d v="2025-06-26T00:00:00"/>
    <x v="10"/>
    <s v="Dining Chair Frame (D)"/>
    <n v="1"/>
    <n v="623"/>
    <n v="623"/>
    <x v="2"/>
  </r>
  <r>
    <d v="2025-06-27T00:00:00"/>
    <x v="6"/>
    <s v="Sofa Side Frame (B)"/>
    <n v="1"/>
    <n v="3910"/>
    <n v="3910"/>
    <x v="2"/>
  </r>
  <r>
    <d v="2025-06-27T00:00:00"/>
    <x v="9"/>
    <s v="Sofa Side Frame (E)"/>
    <n v="1"/>
    <n v="6300"/>
    <n v="6300"/>
    <x v="2"/>
  </r>
  <r>
    <d v="2025-06-30T00:00:00"/>
    <x v="12"/>
    <s v="Teak Sawn Timber Different Cut Size"/>
    <n v="2"/>
    <n v="1485"/>
    <n v="2970"/>
    <x v="1"/>
  </r>
  <r>
    <d v="2025-06-30T00:00:00"/>
    <x v="15"/>
    <s v="Sofa Side Frame (A)"/>
    <n v="2"/>
    <n v="4310"/>
    <n v="8620"/>
    <x v="1"/>
  </r>
  <r>
    <d v="2025-07-04T00:00:00"/>
    <x v="6"/>
    <s v="Sofa Side Frame (B)"/>
    <n v="3"/>
    <n v="3910"/>
    <n v="11730"/>
    <x v="1"/>
  </r>
  <r>
    <d v="2025-07-08T00:00:00"/>
    <x v="16"/>
    <s v="Bed Side Frame (A)"/>
    <n v="4"/>
    <n v="1723"/>
    <n v="6892"/>
    <x v="1"/>
  </r>
  <r>
    <d v="2025-07-09T00:00:00"/>
    <x v="7"/>
    <s v="Sofa Side Frame (D)"/>
    <n v="2"/>
    <n v="5800"/>
    <n v="11600"/>
    <x v="1"/>
  </r>
  <r>
    <d v="2025-07-09T00:00:00"/>
    <x v="2"/>
    <s v="Centre Table Frame (C)"/>
    <n v="1"/>
    <n v="970"/>
    <n v="970"/>
    <x v="2"/>
  </r>
  <r>
    <d v="2025-07-09T00:00:00"/>
    <x v="17"/>
    <s v="Chair Frame (A)"/>
    <n v="1"/>
    <n v="990"/>
    <n v="990"/>
    <x v="1"/>
  </r>
  <r>
    <d v="2025-07-10T00:00:00"/>
    <x v="5"/>
    <s v="Bed Side Frame (D)"/>
    <n v="3"/>
    <n v="2540"/>
    <n v="7620"/>
    <x v="1"/>
  </r>
  <r>
    <d v="2025-07-10T00:00:00"/>
    <x v="8"/>
    <s v="Bed Side Frame (F)"/>
    <n v="1"/>
    <n v="1960"/>
    <n v="1960"/>
    <x v="1"/>
  </r>
  <r>
    <d v="2025-07-11T00:00:00"/>
    <x v="7"/>
    <s v="Sofa Side Frame (D)"/>
    <n v="2"/>
    <n v="5800"/>
    <n v="11600"/>
    <x v="0"/>
  </r>
  <r>
    <d v="2025-07-11T00:00:00"/>
    <x v="6"/>
    <s v="Sofa Side Frame (B)"/>
    <n v="4"/>
    <n v="3910"/>
    <n v="15640"/>
    <x v="1"/>
  </r>
  <r>
    <d v="2025-07-12T00:00:00"/>
    <x v="5"/>
    <s v="Bed Side Frame (D)"/>
    <n v="4"/>
    <n v="2540"/>
    <n v="10160"/>
    <x v="1"/>
  </r>
  <r>
    <d v="2025-07-15T00:00:00"/>
    <x v="17"/>
    <s v="Chair Frame (A)"/>
    <n v="3"/>
    <n v="990"/>
    <n v="2970"/>
    <x v="1"/>
  </r>
  <r>
    <d v="2025-07-17T00:00:00"/>
    <x v="18"/>
    <s v="Centre Table Frame (B)"/>
    <n v="1"/>
    <n v="1015"/>
    <n v="1015"/>
    <x v="2"/>
  </r>
  <r>
    <d v="2025-07-17T00:00:00"/>
    <x v="8"/>
    <s v="Bed Side Frame (F)"/>
    <n v="1"/>
    <n v="1960"/>
    <n v="1960"/>
    <x v="2"/>
  </r>
  <r>
    <d v="2025-07-19T00:00:00"/>
    <x v="0"/>
    <s v="Centre Table Side Frame (A)"/>
    <n v="2"/>
    <n v="985"/>
    <n v="1970"/>
    <x v="1"/>
  </r>
  <r>
    <d v="2025-07-22T00:00:00"/>
    <x v="8"/>
    <s v="Bed Side Frame (F)"/>
    <n v="3"/>
    <n v="1960"/>
    <n v="5880"/>
    <x v="1"/>
  </r>
  <r>
    <d v="2025-07-23T00:00:00"/>
    <x v="8"/>
    <s v="Bed Side Frame (F)"/>
    <n v="1"/>
    <n v="1960"/>
    <n v="1960"/>
    <x v="2"/>
  </r>
  <r>
    <d v="2025-07-27T00:00:00"/>
    <x v="6"/>
    <s v="Sofa Side Frame (B)"/>
    <n v="3"/>
    <n v="3910"/>
    <n v="11730"/>
    <x v="1"/>
  </r>
  <r>
    <d v="2025-07-27T00:00:00"/>
    <x v="2"/>
    <s v="Centre Table Frame (C)"/>
    <n v="3"/>
    <n v="970"/>
    <n v="2910"/>
    <x v="1"/>
  </r>
  <r>
    <d v="2025-07-30T00:00:00"/>
    <x v="10"/>
    <s v="Dining Chair Frame (D)"/>
    <n v="3"/>
    <n v="623"/>
    <n v="1869"/>
    <x v="1"/>
  </r>
  <r>
    <d v="2025-07-30T00:00:00"/>
    <x v="18"/>
    <s v="Centre Table Frame (B)"/>
    <n v="2"/>
    <n v="1015"/>
    <n v="2030"/>
    <x v="1"/>
  </r>
  <r>
    <d v="2025-07-31T00:00:00"/>
    <x v="1"/>
    <s v="Dining Chair Frame (B)"/>
    <n v="2"/>
    <n v="660"/>
    <n v="1320"/>
    <x v="0"/>
  </r>
  <r>
    <d v="2025-07-31T00:00:00"/>
    <x v="7"/>
    <s v="Sofa Side Frame (D)"/>
    <n v="1"/>
    <n v="5800"/>
    <n v="5800"/>
    <x v="1"/>
  </r>
  <r>
    <d v="2025-08-03T00:00:00"/>
    <x v="2"/>
    <s v="Centre Table Frame (C)"/>
    <n v="3"/>
    <n v="970"/>
    <n v="2910"/>
    <x v="1"/>
  </r>
  <r>
    <d v="2025-08-03T00:00:00"/>
    <x v="9"/>
    <s v="Sofa Side Frame (E)"/>
    <n v="3"/>
    <n v="6300"/>
    <n v="18900"/>
    <x v="1"/>
  </r>
  <r>
    <d v="2025-08-04T00:00:00"/>
    <x v="17"/>
    <s v="Chair Frame (A)"/>
    <n v="1"/>
    <n v="990"/>
    <n v="990"/>
    <x v="2"/>
  </r>
  <r>
    <d v="2025-08-07T00:00:00"/>
    <x v="15"/>
    <s v="Sofa Side Frame (A)"/>
    <n v="5"/>
    <n v="4310"/>
    <n v="21550"/>
    <x v="1"/>
  </r>
  <r>
    <d v="2025-08-07T00:00:00"/>
    <x v="0"/>
    <s v="Centre Table Side Frame (A)"/>
    <n v="2"/>
    <n v="985"/>
    <n v="1970"/>
    <x v="1"/>
  </r>
  <r>
    <d v="2025-08-08T00:00:00"/>
    <x v="19"/>
    <s v="Sofa Side Frame (C)"/>
    <n v="2"/>
    <n v="4940"/>
    <n v="9880"/>
    <x v="1"/>
  </r>
  <r>
    <d v="2025-08-09T00:00:00"/>
    <x v="7"/>
    <s v="Sofa Side Frame (D)"/>
    <n v="2"/>
    <n v="5800"/>
    <n v="11600"/>
    <x v="1"/>
  </r>
  <r>
    <d v="2025-08-09T00:00:00"/>
    <x v="5"/>
    <s v="Bed Side Frame (D)"/>
    <n v="1"/>
    <n v="2540"/>
    <n v="2540"/>
    <x v="2"/>
  </r>
  <r>
    <d v="2025-08-11T00:00:00"/>
    <x v="0"/>
    <s v="Centre Table Side Frame (A)"/>
    <n v="1"/>
    <n v="985"/>
    <n v="985"/>
    <x v="2"/>
  </r>
  <r>
    <d v="2025-08-12T00:00:00"/>
    <x v="9"/>
    <s v="Sofa Side Frame (E)"/>
    <n v="2"/>
    <n v="6300"/>
    <n v="12600"/>
    <x v="1"/>
  </r>
  <r>
    <d v="2025-08-12T00:00:00"/>
    <x v="19"/>
    <s v="Sofa Side Frame (C)"/>
    <n v="3"/>
    <n v="4940"/>
    <n v="14820"/>
    <x v="1"/>
  </r>
  <r>
    <d v="2025-08-12T00:00:00"/>
    <x v="20"/>
    <s v="Bed Side Frame (C)"/>
    <n v="1"/>
    <n v="1800"/>
    <n v="1800"/>
    <x v="2"/>
  </r>
  <r>
    <d v="2025-08-19T00:00:00"/>
    <x v="20"/>
    <s v="Bed Side Frame (C)"/>
    <n v="4"/>
    <n v="1800"/>
    <n v="7200"/>
    <x v="1"/>
  </r>
  <r>
    <d v="2025-08-19T00:00:00"/>
    <x v="10"/>
    <s v="Dining Chair Frame (D)"/>
    <n v="1"/>
    <n v="623"/>
    <n v="623"/>
    <x v="2"/>
  </r>
  <r>
    <d v="2025-08-20T00:00:00"/>
    <x v="8"/>
    <s v="Bed Side Frame (F)"/>
    <n v="1"/>
    <n v="1960"/>
    <n v="1960"/>
    <x v="2"/>
  </r>
  <r>
    <d v="2025-08-21T00:00:00"/>
    <x v="7"/>
    <s v="Sofa Side Frame (D)"/>
    <n v="3"/>
    <n v="5800"/>
    <n v="17400"/>
    <x v="1"/>
  </r>
  <r>
    <d v="2025-08-22T00:00:00"/>
    <x v="3"/>
    <s v="Dining Chair Frame (A)"/>
    <n v="2"/>
    <n v="700"/>
    <n v="1400"/>
    <x v="0"/>
  </r>
  <r>
    <d v="2025-08-25T00:00:00"/>
    <x v="4"/>
    <s v="Dining Chair Frame (C)"/>
    <n v="3"/>
    <n v="710"/>
    <n v="2130"/>
    <x v="1"/>
  </r>
  <r>
    <d v="2025-08-29T00:00:00"/>
    <x v="1"/>
    <s v="Dining Chair Frame (B)"/>
    <n v="7"/>
    <n v="660"/>
    <n v="4620"/>
    <x v="0"/>
  </r>
  <r>
    <d v="2025-08-29T00:00:00"/>
    <x v="10"/>
    <s v="Dining Chair Frame (D)"/>
    <n v="2"/>
    <n v="623"/>
    <n v="1246"/>
    <x v="1"/>
  </r>
  <r>
    <m/>
    <x v="21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5-05-04T00:00:00"/>
    <x v="0"/>
    <s v="Bed Side Frame (A)"/>
    <n v="2"/>
    <n v="1480"/>
    <n v="2960"/>
  </r>
  <r>
    <d v="2025-05-04T00:00:00"/>
    <x v="1"/>
    <s v="Chair Frame (B)"/>
    <n v="3"/>
    <n v="560"/>
    <n v="1680"/>
  </r>
  <r>
    <d v="2025-05-04T00:00:00"/>
    <x v="2"/>
    <s v="Sofa Side Frame (B)"/>
    <n v="7"/>
    <n v="3150"/>
    <n v="22050"/>
  </r>
  <r>
    <d v="2025-05-17T00:00:00"/>
    <x v="3"/>
    <s v="Centre Table Side Frame (A)"/>
    <n v="5"/>
    <n v="890"/>
    <n v="4450"/>
  </r>
  <r>
    <d v="2025-05-17T00:00:00"/>
    <x v="1"/>
    <s v="Chair Frame (B)"/>
    <n v="3"/>
    <n v="560"/>
    <n v="1680"/>
  </r>
  <r>
    <d v="2025-05-17T00:00:00"/>
    <x v="4"/>
    <s v="Bed Side Frame (C)"/>
    <n v="5"/>
    <n v="1560"/>
    <n v="7800"/>
  </r>
  <r>
    <d v="2025-05-30T00:00:00"/>
    <x v="5"/>
    <s v="Sofa Side Frame (A)"/>
    <n v="7"/>
    <n v="3375"/>
    <n v="23625"/>
  </r>
  <r>
    <d v="2025-05-30T00:00:00"/>
    <x v="6"/>
    <s v="Centre Table Frame (C)"/>
    <n v="3"/>
    <n v="854"/>
    <n v="2562"/>
  </r>
  <r>
    <d v="2025-05-30T00:00:00"/>
    <x v="7"/>
    <s v="Teak Sawn Timber Different Cut Size"/>
    <n v="5"/>
    <n v="1347"/>
    <n v="6735"/>
  </r>
  <r>
    <d v="2025-06-09T00:00:00"/>
    <x v="2"/>
    <s v="Sofa Side Frame (B)"/>
    <n v="2"/>
    <n v="3150"/>
    <n v="6300"/>
  </r>
  <r>
    <d v="2025-06-09T00:00:00"/>
    <x v="8"/>
    <s v="Sofa Side Frame (D)"/>
    <n v="5"/>
    <n v="4330"/>
    <n v="21650"/>
  </r>
  <r>
    <d v="2025-06-09T00:00:00"/>
    <x v="9"/>
    <s v="Centre Table Frame (A)"/>
    <n v="3"/>
    <n v="657"/>
    <n v="1971"/>
  </r>
  <r>
    <d v="2025-06-09T00:00:00"/>
    <x v="10"/>
    <s v="Bed Side Frame (B)"/>
    <n v="2"/>
    <n v="2050"/>
    <n v="4100"/>
  </r>
  <r>
    <d v="2025-06-17T00:00:00"/>
    <x v="6"/>
    <s v="Centre Table Frame (C)"/>
    <n v="5"/>
    <n v="854"/>
    <n v="4270"/>
  </r>
  <r>
    <d v="2025-06-17T00:00:00"/>
    <x v="2"/>
    <s v="Sofa Side Frame (B)"/>
    <n v="5"/>
    <n v="3150"/>
    <n v="15750"/>
  </r>
  <r>
    <d v="2025-06-17T00:00:00"/>
    <x v="0"/>
    <s v="Bed Side Frame (A)"/>
    <n v="4"/>
    <n v="1480"/>
    <n v="5920"/>
  </r>
  <r>
    <d v="2025-06-17T00:00:00"/>
    <x v="3"/>
    <s v="Centre Table Side Frame (A)"/>
    <n v="3"/>
    <n v="890"/>
    <n v="2670"/>
  </r>
  <r>
    <d v="2025-06-25T00:00:00"/>
    <x v="9"/>
    <s v="Centre Table Frame (A)"/>
    <n v="4"/>
    <n v="657"/>
    <n v="2628"/>
  </r>
  <r>
    <d v="2025-06-25T00:00:00"/>
    <x v="11"/>
    <s v="Bed Side Frame (F)"/>
    <n v="3"/>
    <n v="1720"/>
    <n v="5160"/>
  </r>
  <r>
    <d v="2025-06-25T00:00:00"/>
    <x v="8"/>
    <s v="Sofa Side Frame (D)"/>
    <n v="5"/>
    <n v="4330"/>
    <n v="21650"/>
  </r>
  <r>
    <d v="2025-06-25T00:00:00"/>
    <x v="12"/>
    <s v="Chair Frame (A)"/>
    <n v="3"/>
    <n v="800"/>
    <n v="2400"/>
  </r>
  <r>
    <d v="2025-07-10T00:00:00"/>
    <x v="11"/>
    <s v="Bed Side Frame (F)"/>
    <n v="5"/>
    <n v="1720"/>
    <n v="8600"/>
  </r>
  <r>
    <d v="2025-07-10T00:00:00"/>
    <x v="13"/>
    <s v="Centre Table Frame (B)"/>
    <n v="6"/>
    <n v="880"/>
    <n v="5280"/>
  </r>
  <r>
    <d v="2025-07-10T00:00:00"/>
    <x v="14"/>
    <s v="Dining Chair Frame (D)"/>
    <n v="5"/>
    <n v="540"/>
    <n v="2700"/>
  </r>
  <r>
    <d v="2025-07-10T00:00:00"/>
    <x v="3"/>
    <s v="Centre Table Side Frame (A)"/>
    <n v="7"/>
    <n v="890"/>
    <n v="6230"/>
  </r>
  <r>
    <d v="2025-07-28T00:00:00"/>
    <x v="15"/>
    <s v="Sofa Side Frame (C)"/>
    <n v="2"/>
    <n v="3730"/>
    <n v="7460"/>
  </r>
  <r>
    <d v="2025-07-28T00:00:00"/>
    <x v="14"/>
    <s v="Dining Chair Frame (D)"/>
    <n v="5"/>
    <n v="540"/>
    <n v="2700"/>
  </r>
  <r>
    <d v="2025-07-31T00:00:00"/>
    <x v="4"/>
    <s v="Bed Side Frame (C)"/>
    <n v="4"/>
    <n v="1560"/>
    <n v="6240"/>
  </r>
  <r>
    <d v="2025-07-31T00:00:00"/>
    <x v="8"/>
    <s v="Sofa Side Frame (D)"/>
    <n v="3"/>
    <n v="4330"/>
    <n v="12990"/>
  </r>
  <r>
    <d v="2025-07-31T00:00:00"/>
    <x v="13"/>
    <s v="Centre Table Frame (B)"/>
    <n v="3"/>
    <n v="880"/>
    <n v="2640"/>
  </r>
  <r>
    <d v="2025-07-31T00:00:00"/>
    <x v="11"/>
    <s v="Bed Side Frame (F)"/>
    <n v="5"/>
    <n v="1720"/>
    <n v="8600"/>
  </r>
  <r>
    <d v="2025-08-31T00:00:00"/>
    <x v="0"/>
    <s v="Bed Side Frame (A)"/>
    <n v="2"/>
    <n v="1480"/>
    <n v="2960"/>
  </r>
  <r>
    <d v="2025-08-27T00:00:00"/>
    <x v="16"/>
    <s v="Dining Chair Frame (B)"/>
    <n v="3"/>
    <n v="580"/>
    <n v="1740"/>
  </r>
  <r>
    <d v="2025-08-27T00:00:00"/>
    <x v="11"/>
    <s v="Bed Side Frame (F)"/>
    <n v="5"/>
    <n v="1720"/>
    <n v="8600"/>
  </r>
  <r>
    <d v="2025-08-27T00:00:00"/>
    <x v="4"/>
    <s v="Bed Side Frame (C)"/>
    <n v="5"/>
    <n v="1560"/>
    <n v="7800"/>
  </r>
  <r>
    <d v="2025-08-27T00:00:00"/>
    <x v="13"/>
    <s v="Centre Table Frame (B)"/>
    <n v="9"/>
    <n v="880"/>
    <n v="7920"/>
  </r>
  <r>
    <d v="2025-08-27T00:00:00"/>
    <x v="5"/>
    <s v="Sofa Side Frame (A)"/>
    <n v="1"/>
    <n v="3375"/>
    <n v="3375"/>
  </r>
  <r>
    <d v="2025-08-27T00:00:00"/>
    <x v="7"/>
    <s v="Teak Sawn Timber Different Cut Size"/>
    <n v="5"/>
    <n v="1347"/>
    <n v="67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5-05-02T00:00:00"/>
    <x v="0"/>
    <s v="Centre Table Side Frame (A)"/>
    <n v="1"/>
    <n v="985"/>
    <n v="985"/>
    <s v="Not Available"/>
  </r>
  <r>
    <d v="2025-05-03T00:00:00"/>
    <x v="1"/>
    <s v="Dining Chair Frame (B)"/>
    <n v="2"/>
    <n v="660"/>
    <n v="1320"/>
    <s v="Carpenter"/>
  </r>
  <r>
    <d v="2025-05-03T00:00:00"/>
    <x v="2"/>
    <s v="Bed Side Frame (B)"/>
    <n v="1"/>
    <n v="2500"/>
    <n v="2500"/>
    <s v="Carpenter"/>
  </r>
  <r>
    <d v="2025-05-08T00:00:00"/>
    <x v="3"/>
    <s v="Sofa Side Frame (C)"/>
    <n v="2"/>
    <n v="4940"/>
    <n v="9880"/>
    <s v="Carpenter"/>
  </r>
  <r>
    <d v="2025-05-10T00:00:00"/>
    <x v="4"/>
    <s v="Dining Chair Frame (A)"/>
    <n v="1"/>
    <n v="700"/>
    <n v="700"/>
    <s v="Retail"/>
  </r>
  <r>
    <d v="2025-05-18T00:00:00"/>
    <x v="5"/>
    <s v="Dining Chair Frame (C)"/>
    <n v="2"/>
    <n v="710"/>
    <n v="1420"/>
    <s v="Carpenter"/>
  </r>
  <r>
    <d v="2025-05-20T00:00:00"/>
    <x v="6"/>
    <s v="Sofa Side Frame (D)"/>
    <n v="3"/>
    <n v="5800"/>
    <n v="17400"/>
    <s v="Carpenter"/>
  </r>
  <r>
    <d v="2025-05-23T00:00:00"/>
    <x v="7"/>
    <s v="Sofa Side Frame (E)"/>
    <n v="3"/>
    <n v="6300"/>
    <n v="18900"/>
    <s v="Not Available"/>
  </r>
  <r>
    <d v="2025-05-23T00:00:00"/>
    <x v="8"/>
    <s v="Dining Chair Frame (D)"/>
    <n v="2"/>
    <n v="623"/>
    <n v="1246"/>
    <s v="Not Available"/>
  </r>
  <r>
    <d v="2025-05-25T00:00:00"/>
    <x v="9"/>
    <s v="Centre Table Frame (C)"/>
    <n v="2"/>
    <n v="970"/>
    <n v="1940"/>
    <s v="Not Available"/>
  </r>
  <r>
    <d v="2025-05-31T00:00:00"/>
    <x v="10"/>
    <s v="Sofa Side Frame (B)"/>
    <n v="1"/>
    <n v="3910"/>
    <n v="3910"/>
    <s v="Retail"/>
  </r>
  <r>
    <d v="2025-06-05T00:00:00"/>
    <x v="4"/>
    <s v="Dining Chair Frame (A)"/>
    <n v="4"/>
    <n v="700"/>
    <n v="2800"/>
    <s v="Carpenter"/>
  </r>
  <r>
    <d v="2025-06-09T00:00:00"/>
    <x v="8"/>
    <s v="Dining Chair Frame (D)"/>
    <n v="2"/>
    <n v="623"/>
    <n v="1246"/>
    <s v="Carpenter"/>
  </r>
  <r>
    <d v="2025-06-12T00:00:00"/>
    <x v="11"/>
    <s v="Bed Side Frame (D)"/>
    <n v="1"/>
    <n v="2540"/>
    <n v="2540"/>
    <s v="Carpenter"/>
  </r>
  <r>
    <d v="2025-06-12T00:00:00"/>
    <x v="8"/>
    <s v="Dining Chair Frame (D)"/>
    <n v="2"/>
    <n v="623"/>
    <n v="1246"/>
    <s v="Carpenter"/>
  </r>
  <r>
    <d v="2025-06-13T00:00:00"/>
    <x v="12"/>
    <s v="Centre Table Frame (A)"/>
    <n v="2"/>
    <n v="730"/>
    <n v="1460"/>
    <s v="Carpenter"/>
  </r>
  <r>
    <d v="2025-06-13T00:00:00"/>
    <x v="13"/>
    <s v="Teak Sawn Timber Different Cut Size"/>
    <n v="5"/>
    <n v="1485"/>
    <n v="7425"/>
    <s v="Carpenter"/>
  </r>
  <r>
    <d v="2025-06-18T00:00:00"/>
    <x v="9"/>
    <s v="Centre Table Frame (C)"/>
    <n v="4"/>
    <n v="970"/>
    <n v="3880"/>
    <s v="Carpenter"/>
  </r>
  <r>
    <d v="2025-06-18T00:00:00"/>
    <x v="4"/>
    <s v="Dining Chair Frame (A)"/>
    <n v="1"/>
    <n v="700"/>
    <n v="700"/>
    <s v="Retail"/>
  </r>
  <r>
    <d v="2025-06-23T00:00:00"/>
    <x v="14"/>
    <s v="Chair Frame (B)"/>
    <n v="2"/>
    <n v="624"/>
    <n v="1248"/>
    <s v="Carpenter"/>
  </r>
  <r>
    <d v="2025-06-23T00:00:00"/>
    <x v="15"/>
    <s v="Sofa Side Frame (A)"/>
    <n v="3"/>
    <n v="4310"/>
    <n v="12930"/>
    <s v="Carpenter"/>
  </r>
  <r>
    <d v="2025-06-25T00:00:00"/>
    <x v="14"/>
    <s v="Chair Frame (B)"/>
    <n v="2"/>
    <n v="624"/>
    <n v="1248"/>
    <s v="Carpenter"/>
  </r>
  <r>
    <d v="2025-06-25T00:00:00"/>
    <x v="10"/>
    <s v="Sofa Side Frame (B)"/>
    <n v="4"/>
    <n v="3910"/>
    <n v="15640"/>
    <s v="Carpenter"/>
  </r>
  <r>
    <d v="2025-06-26T00:00:00"/>
    <x v="8"/>
    <s v="Dining Chair Frame (D)"/>
    <n v="1"/>
    <n v="623"/>
    <n v="623"/>
    <s v="Retail"/>
  </r>
  <r>
    <d v="2025-06-27T00:00:00"/>
    <x v="10"/>
    <s v="Sofa Side Frame (B)"/>
    <n v="1"/>
    <n v="3910"/>
    <n v="3910"/>
    <s v="Retail"/>
  </r>
  <r>
    <d v="2025-06-27T00:00:00"/>
    <x v="7"/>
    <s v="Sofa Side Frame (E)"/>
    <n v="1"/>
    <n v="6300"/>
    <n v="6300"/>
    <s v="Retail"/>
  </r>
  <r>
    <d v="2025-06-30T00:00:00"/>
    <x v="13"/>
    <s v="Teak Sawn Timber Different Cut Size"/>
    <n v="2"/>
    <n v="1485"/>
    <n v="2970"/>
    <s v="Carpenter"/>
  </r>
  <r>
    <d v="2025-06-30T00:00:00"/>
    <x v="15"/>
    <s v="Sofa Side Frame (A)"/>
    <n v="2"/>
    <n v="4310"/>
    <n v="8620"/>
    <s v="Carpenter"/>
  </r>
  <r>
    <d v="2025-07-04T00:00:00"/>
    <x v="10"/>
    <s v="Sofa Side Frame (B)"/>
    <n v="3"/>
    <n v="3910"/>
    <n v="11730"/>
    <s v="Carpenter"/>
  </r>
  <r>
    <d v="2025-07-08T00:00:00"/>
    <x v="16"/>
    <s v="Bed Side Frame (A)"/>
    <n v="4"/>
    <n v="1723"/>
    <n v="6892"/>
    <s v="Carpenter"/>
  </r>
  <r>
    <d v="2025-07-09T00:00:00"/>
    <x v="6"/>
    <s v="Sofa Side Frame (D)"/>
    <n v="2"/>
    <n v="5800"/>
    <n v="11600"/>
    <s v="Carpenter"/>
  </r>
  <r>
    <d v="2025-07-09T00:00:00"/>
    <x v="9"/>
    <s v="Centre Table Frame (C)"/>
    <n v="1"/>
    <n v="970"/>
    <n v="970"/>
    <s v="Retail"/>
  </r>
  <r>
    <d v="2025-07-09T00:00:00"/>
    <x v="17"/>
    <s v="Chair Frame (A)"/>
    <n v="1"/>
    <n v="990"/>
    <n v="990"/>
    <s v="Carpenter"/>
  </r>
  <r>
    <d v="2025-07-10T00:00:00"/>
    <x v="11"/>
    <s v="Bed Side Frame (D)"/>
    <n v="1"/>
    <n v="2540"/>
    <n v="2540"/>
    <s v="Carpenter"/>
  </r>
  <r>
    <d v="2025-07-10T00:00:00"/>
    <x v="18"/>
    <s v="Bed Side Frame (F)"/>
    <n v="1"/>
    <n v="1960"/>
    <n v="1960"/>
    <s v="Carpenter"/>
  </r>
  <r>
    <d v="2025-07-11T00:00:00"/>
    <x v="6"/>
    <s v="Sofa Side Frame (D)"/>
    <n v="2"/>
    <n v="5800"/>
    <n v="11600"/>
    <s v="Not Available"/>
  </r>
  <r>
    <d v="2025-07-11T00:00:00"/>
    <x v="10"/>
    <s v="Sofa Side Frame (B)"/>
    <n v="4"/>
    <n v="3910"/>
    <n v="15640"/>
    <s v="Carpenter"/>
  </r>
  <r>
    <d v="2025-07-12T00:00:00"/>
    <x v="11"/>
    <s v="Bed Side Frame (D)"/>
    <n v="2"/>
    <n v="2540"/>
    <n v="5080"/>
    <s v="Carpenter"/>
  </r>
  <r>
    <d v="2025-07-15T00:00:00"/>
    <x v="17"/>
    <s v="Chair Frame (A)"/>
    <n v="3"/>
    <n v="990"/>
    <n v="2970"/>
    <s v="Carpenter"/>
  </r>
  <r>
    <d v="2025-07-17T00:00:00"/>
    <x v="19"/>
    <s v="Centre Table Frame (B)"/>
    <n v="1"/>
    <n v="1015"/>
    <n v="1015"/>
    <s v="Retail"/>
  </r>
  <r>
    <d v="2025-07-17T00:00:00"/>
    <x v="18"/>
    <s v="Bed Side Frame (F)"/>
    <n v="1"/>
    <n v="1960"/>
    <n v="1960"/>
    <s v="Retail"/>
  </r>
  <r>
    <d v="2025-07-19T00:00:00"/>
    <x v="0"/>
    <s v="Centre Table Side Frame (A)"/>
    <n v="2"/>
    <n v="985"/>
    <n v="1970"/>
    <s v="Carpenter"/>
  </r>
  <r>
    <d v="2025-07-22T00:00:00"/>
    <x v="18"/>
    <s v="Bed Side Frame (F)"/>
    <n v="3"/>
    <n v="1960"/>
    <n v="5880"/>
    <s v="Carpenter"/>
  </r>
  <r>
    <d v="2025-07-23T00:00:00"/>
    <x v="18"/>
    <s v="Bed Side Frame (F)"/>
    <n v="1"/>
    <n v="1960"/>
    <n v="1960"/>
    <s v="Retail"/>
  </r>
  <r>
    <d v="2025-07-27T00:00:00"/>
    <x v="10"/>
    <s v="Sofa Side Frame (B)"/>
    <n v="3"/>
    <n v="3910"/>
    <n v="11730"/>
    <s v="Carpenter"/>
  </r>
  <r>
    <d v="2025-07-27T00:00:00"/>
    <x v="9"/>
    <s v="Centre Table Frame (C)"/>
    <n v="3"/>
    <n v="970"/>
    <n v="2910"/>
    <s v="Carpenter"/>
  </r>
  <r>
    <d v="2025-07-31T00:00:00"/>
    <x v="1"/>
    <s v="Dining Chair Frame (B)"/>
    <n v="2"/>
    <n v="660"/>
    <n v="1320"/>
    <s v="Not Available"/>
  </r>
  <r>
    <d v="2025-07-31T00:00:00"/>
    <x v="6"/>
    <s v="Sofa Side Frame (D)"/>
    <n v="1"/>
    <n v="5800"/>
    <n v="5800"/>
    <s v="Carpenter"/>
  </r>
  <r>
    <d v="2025-08-03T00:00:00"/>
    <x v="9"/>
    <s v="Centre Table Frame (C)"/>
    <n v="3"/>
    <n v="970"/>
    <n v="2910"/>
    <s v="Carpenter"/>
  </r>
  <r>
    <d v="2025-08-03T00:00:00"/>
    <x v="7"/>
    <s v="Sofa Side Frame (E)"/>
    <n v="3"/>
    <n v="6300"/>
    <n v="18900"/>
    <s v="Carpenter"/>
  </r>
  <r>
    <d v="2025-08-05T00:00:00"/>
    <x v="17"/>
    <s v="Chair Frame (A)"/>
    <n v="3"/>
    <n v="990"/>
    <n v="2970"/>
    <s v="Retail"/>
  </r>
  <r>
    <d v="2025-08-07T00:00:00"/>
    <x v="15"/>
    <s v="Sofa Side Frame (A)"/>
    <n v="5"/>
    <n v="4310"/>
    <n v="21550"/>
    <s v="Carpenter"/>
  </r>
  <r>
    <d v="2025-08-07T00:00:00"/>
    <x v="0"/>
    <s v="Centre Table Side Frame (A)"/>
    <n v="2"/>
    <n v="985"/>
    <n v="1970"/>
    <s v="Carpenter"/>
  </r>
  <r>
    <d v="2025-08-08T00:00:00"/>
    <x v="3"/>
    <s v="Sofa Side Frame (C)"/>
    <n v="2"/>
    <n v="4940"/>
    <n v="9880"/>
    <s v="Carpenter"/>
  </r>
  <r>
    <d v="2025-08-09T00:00:00"/>
    <x v="6"/>
    <s v="Sofa Side Frame (D)"/>
    <n v="2"/>
    <n v="5800"/>
    <n v="11600"/>
    <s v="Carpenter"/>
  </r>
  <r>
    <d v="2025-08-11T00:00:00"/>
    <x v="0"/>
    <s v="Centre Table Side Frame (A)"/>
    <n v="1"/>
    <n v="985"/>
    <n v="985"/>
    <s v="Retail"/>
  </r>
  <r>
    <d v="2025-08-12T00:00:00"/>
    <x v="7"/>
    <s v="Sofa Side Frame (E)"/>
    <n v="2"/>
    <n v="6300"/>
    <n v="12600"/>
    <s v="Carpenter"/>
  </r>
  <r>
    <d v="2025-08-12T00:00:00"/>
    <x v="3"/>
    <s v="Sofa Side Frame (C)"/>
    <n v="3"/>
    <n v="4940"/>
    <n v="14820"/>
    <s v="Carpenter"/>
  </r>
  <r>
    <d v="2025-08-12T00:00:00"/>
    <x v="20"/>
    <s v="Bed Side Frame (C)"/>
    <n v="1"/>
    <n v="1800"/>
    <n v="1800"/>
    <s v="Retail"/>
  </r>
  <r>
    <d v="2025-08-17T00:00:00"/>
    <x v="20"/>
    <s v="Bed Side Frame (C)"/>
    <n v="4"/>
    <n v="1800"/>
    <n v="7200"/>
    <s v="Carpenter"/>
  </r>
  <r>
    <d v="2025-08-17T00:00:00"/>
    <x v="8"/>
    <s v="Dining Chair Frame (D)"/>
    <n v="1"/>
    <n v="623"/>
    <n v="623"/>
    <s v="Retail"/>
  </r>
  <r>
    <d v="2025-08-20T00:00:00"/>
    <x v="18"/>
    <s v="Bed Side Frame (F)"/>
    <n v="1"/>
    <n v="1960"/>
    <n v="1960"/>
    <s v="Retail"/>
  </r>
  <r>
    <d v="2025-08-22T00:00:00"/>
    <x v="4"/>
    <s v="Dining Chair Frame (A)"/>
    <n v="2"/>
    <n v="700"/>
    <n v="1400"/>
    <s v="Not Available"/>
  </r>
  <r>
    <d v="2025-08-25T00:00:00"/>
    <x v="5"/>
    <s v="Dining Chair Frame (C)"/>
    <n v="3"/>
    <n v="710"/>
    <n v="2130"/>
    <s v="Carpenter"/>
  </r>
  <r>
    <d v="2025-08-29T00:00:00"/>
    <x v="1"/>
    <s v="Dining Chair Frame (B)"/>
    <n v="7"/>
    <n v="660"/>
    <n v="4620"/>
    <s v="Not Available"/>
  </r>
  <r>
    <d v="2025-08-29T00:00:00"/>
    <x v="8"/>
    <s v="Dining Chair Frame (D)"/>
    <n v="2"/>
    <n v="623"/>
    <n v="1246"/>
    <s v="Carpe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29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:H47" firstHeaderRow="0" firstDataRow="1" firstDataCol="1"/>
  <pivotFields count="6">
    <pivotField numFmtId="14" showAll="0"/>
    <pivotField axis="axisRow" showAll="0">
      <items count="22">
        <item x="0"/>
        <item x="10"/>
        <item x="4"/>
        <item m="1" x="17"/>
        <item x="11"/>
        <item x="12"/>
        <item x="1"/>
        <item x="9"/>
        <item x="13"/>
        <item x="6"/>
        <item x="3"/>
        <item x="16"/>
        <item m="1" x="18"/>
        <item x="14"/>
        <item m="1" x="20"/>
        <item x="5"/>
        <item x="2"/>
        <item x="15"/>
        <item x="8"/>
        <item m="1" x="19"/>
        <item x="7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5BBA9-FE8F-496F-861F-98FF87DC4469}" name="PivotTable28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D51" firstHeaderRow="0" firstDataRow="1" firstDataCol="1"/>
  <pivotFields count="7">
    <pivotField numFmtId="14" showAll="0"/>
    <pivotField axis="axisRow" showAll="0">
      <items count="22">
        <item x="16"/>
        <item x="20"/>
        <item x="11"/>
        <item x="18"/>
        <item x="17"/>
        <item x="14"/>
        <item x="12"/>
        <item x="19"/>
        <item x="9"/>
        <item x="0"/>
        <item x="1"/>
        <item x="5"/>
        <item x="8"/>
        <item x="4"/>
        <item x="15"/>
        <item x="10"/>
        <item x="3"/>
        <item x="6"/>
        <item x="7"/>
        <item x="13"/>
        <item x="2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A6E43-2358-4203-AAB8-2E3A87C7E98E}" name="PivotTable4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2:G5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h="1" x="3"/>
        <item h="1" m="1" x="4"/>
        <item h="1"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Amount" fld="5" baseField="0" baseItem="0"/>
  </dataFields>
  <chartFormats count="3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14FB-2EE1-4796-94F3-80771C03CBDC}" name="PivotTable5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">
  <location ref="L31:N53" firstHeaderRow="0" firstDataRow="1" firstDataCol="1"/>
  <pivotFields count="7">
    <pivotField showAll="0"/>
    <pivotField axis="axisRow" showAll="0">
      <items count="23">
        <item x="16"/>
        <item x="13"/>
        <item x="20"/>
        <item x="5"/>
        <item x="8"/>
        <item x="17"/>
        <item x="14"/>
        <item x="11"/>
        <item x="18"/>
        <item x="2"/>
        <item x="0"/>
        <item x="1"/>
        <item x="4"/>
        <item x="10"/>
        <item x="3"/>
        <item x="15"/>
        <item x="6"/>
        <item x="19"/>
        <item x="7"/>
        <item x="9"/>
        <item x="12"/>
        <item h="1" x="21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1B19D-E783-485F-9438-36FA1D3CE2E1}" name="PivotTable6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49:F72" firstHeaderRow="1" firstDataRow="2" firstDataCol="1"/>
  <pivotFields count="7">
    <pivotField showAll="0"/>
    <pivotField axis="axisRow" showAll="0">
      <items count="23">
        <item x="16"/>
        <item x="13"/>
        <item x="20"/>
        <item x="5"/>
        <item x="8"/>
        <item x="17"/>
        <item x="14"/>
        <item x="11"/>
        <item x="18"/>
        <item x="2"/>
        <item x="0"/>
        <item x="1"/>
        <item x="4"/>
        <item x="10"/>
        <item x="3"/>
        <item x="15"/>
        <item x="6"/>
        <item x="19"/>
        <item x="7"/>
        <item x="9"/>
        <item x="12"/>
        <item x="21"/>
        <item t="default"/>
      </items>
    </pivotField>
    <pivotField showAll="0"/>
    <pivotField showAll="0"/>
    <pivotField showAll="0"/>
    <pivotField dataField="1" showAll="0"/>
    <pivotField axis="axisCol" showAll="0">
      <items count="6">
        <item x="1"/>
        <item x="2"/>
        <item h="1" x="3"/>
        <item h="1" m="1" x="4"/>
        <item h="1" x="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Amount" fld="5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100F9-60BA-4A3E-A3D4-FE60D40AC7C1}" name="PivotTable3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ow Labels">
  <location ref="D9:F27" firstHeaderRow="0" firstDataRow="1" firstDataCol="1"/>
  <pivotFields count="6">
    <pivotField numFmtId="14" showAll="0"/>
    <pivotField axis="axisRow" showAll="0">
      <items count="22">
        <item x="0"/>
        <item x="10"/>
        <item x="4"/>
        <item m="1" x="17"/>
        <item x="11"/>
        <item x="12"/>
        <item x="1"/>
        <item x="9"/>
        <item x="13"/>
        <item x="6"/>
        <item x="3"/>
        <item x="16"/>
        <item m="1" x="18"/>
        <item x="14"/>
        <item m="1" x="20"/>
        <item x="5"/>
        <item x="2"/>
        <item x="15"/>
        <item x="8"/>
        <item m="1" x="19"/>
        <item x="7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2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C25" sqref="C25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</row>
    <row r="2" spans="1:6">
      <c r="A2" s="3">
        <v>45781</v>
      </c>
      <c r="B2" t="s">
        <v>19</v>
      </c>
      <c r="C2" t="s">
        <v>20</v>
      </c>
      <c r="D2">
        <v>2</v>
      </c>
      <c r="E2">
        <v>1480</v>
      </c>
      <c r="F2">
        <f>D2*E2</f>
        <v>2960</v>
      </c>
    </row>
    <row r="3" spans="1:6">
      <c r="A3" s="3">
        <v>45781</v>
      </c>
      <c r="B3" t="s">
        <v>21</v>
      </c>
      <c r="C3" t="s">
        <v>21</v>
      </c>
      <c r="D3">
        <v>3</v>
      </c>
      <c r="E3">
        <v>560</v>
      </c>
      <c r="F3">
        <f t="shared" ref="F3:F39" si="0">D3*E3</f>
        <v>1680</v>
      </c>
    </row>
    <row r="4" spans="1:6">
      <c r="A4" s="3">
        <v>45781</v>
      </c>
      <c r="B4" t="s">
        <v>17</v>
      </c>
      <c r="C4" t="s">
        <v>18</v>
      </c>
      <c r="D4">
        <v>4</v>
      </c>
      <c r="E4">
        <v>3150</v>
      </c>
      <c r="F4">
        <f t="shared" si="0"/>
        <v>12600</v>
      </c>
    </row>
    <row r="5" spans="1:6">
      <c r="A5" s="3">
        <v>45794</v>
      </c>
      <c r="B5" t="s">
        <v>26</v>
      </c>
      <c r="C5" t="s">
        <v>27</v>
      </c>
      <c r="D5">
        <v>5</v>
      </c>
      <c r="E5">
        <v>890</v>
      </c>
      <c r="F5">
        <f t="shared" si="0"/>
        <v>4450</v>
      </c>
    </row>
    <row r="6" spans="1:6">
      <c r="A6" s="3">
        <v>45794</v>
      </c>
      <c r="B6" t="s">
        <v>21</v>
      </c>
      <c r="C6" t="s">
        <v>21</v>
      </c>
      <c r="D6">
        <v>3</v>
      </c>
      <c r="E6">
        <v>560</v>
      </c>
      <c r="F6">
        <f t="shared" si="0"/>
        <v>1680</v>
      </c>
    </row>
    <row r="7" spans="1:6">
      <c r="A7" s="3">
        <v>45794</v>
      </c>
      <c r="B7" t="s">
        <v>22</v>
      </c>
      <c r="C7" t="s">
        <v>23</v>
      </c>
      <c r="D7">
        <v>5</v>
      </c>
      <c r="E7">
        <v>1560</v>
      </c>
      <c r="F7">
        <f t="shared" si="0"/>
        <v>7800</v>
      </c>
    </row>
    <row r="8" spans="1:6">
      <c r="A8" s="3">
        <v>45807</v>
      </c>
      <c r="B8" t="s">
        <v>24</v>
      </c>
      <c r="C8" t="s">
        <v>25</v>
      </c>
      <c r="D8">
        <v>7</v>
      </c>
      <c r="E8">
        <v>3375</v>
      </c>
      <c r="F8">
        <f t="shared" si="0"/>
        <v>23625</v>
      </c>
    </row>
    <row r="9" spans="1:6">
      <c r="A9" s="3">
        <v>45807</v>
      </c>
      <c r="B9" t="s">
        <v>42</v>
      </c>
      <c r="C9" t="s">
        <v>43</v>
      </c>
      <c r="D9">
        <v>3</v>
      </c>
      <c r="E9">
        <v>854</v>
      </c>
      <c r="F9">
        <f t="shared" si="0"/>
        <v>2562</v>
      </c>
    </row>
    <row r="10" spans="1:6">
      <c r="A10" s="3">
        <v>45807</v>
      </c>
      <c r="B10" t="s">
        <v>36</v>
      </c>
      <c r="C10" t="s">
        <v>37</v>
      </c>
      <c r="D10">
        <v>5</v>
      </c>
      <c r="E10">
        <v>1347</v>
      </c>
      <c r="F10">
        <f t="shared" si="0"/>
        <v>6735</v>
      </c>
    </row>
    <row r="11" spans="1:6">
      <c r="A11" s="3">
        <v>45817</v>
      </c>
      <c r="B11" t="s">
        <v>17</v>
      </c>
      <c r="C11" t="s">
        <v>18</v>
      </c>
      <c r="D11">
        <v>2</v>
      </c>
      <c r="E11">
        <v>3150</v>
      </c>
      <c r="F11">
        <f t="shared" si="0"/>
        <v>6300</v>
      </c>
    </row>
    <row r="12" spans="1:6">
      <c r="A12" s="3">
        <v>45817</v>
      </c>
      <c r="B12" t="s">
        <v>15</v>
      </c>
      <c r="C12" t="s">
        <v>16</v>
      </c>
      <c r="D12">
        <v>5</v>
      </c>
      <c r="E12">
        <v>4330</v>
      </c>
      <c r="F12">
        <f t="shared" si="0"/>
        <v>21650</v>
      </c>
    </row>
    <row r="13" spans="1:6">
      <c r="A13" s="3">
        <v>45817</v>
      </c>
      <c r="B13" t="s">
        <v>28</v>
      </c>
      <c r="C13" t="s">
        <v>29</v>
      </c>
      <c r="D13">
        <v>3</v>
      </c>
      <c r="E13">
        <v>657</v>
      </c>
      <c r="F13">
        <f t="shared" si="0"/>
        <v>1971</v>
      </c>
    </row>
    <row r="14" spans="1:6">
      <c r="A14" s="3">
        <v>45817</v>
      </c>
      <c r="B14" t="s">
        <v>30</v>
      </c>
      <c r="C14" t="s">
        <v>31</v>
      </c>
      <c r="D14">
        <v>2</v>
      </c>
      <c r="E14">
        <v>2050</v>
      </c>
      <c r="F14">
        <f t="shared" si="0"/>
        <v>4100</v>
      </c>
    </row>
    <row r="15" spans="1:6">
      <c r="A15" s="3">
        <v>45825</v>
      </c>
      <c r="B15" t="s">
        <v>42</v>
      </c>
      <c r="C15" t="s">
        <v>43</v>
      </c>
      <c r="D15">
        <v>5</v>
      </c>
      <c r="E15">
        <v>854</v>
      </c>
      <c r="F15">
        <f t="shared" si="0"/>
        <v>4270</v>
      </c>
    </row>
    <row r="16" spans="1:6">
      <c r="A16" s="3">
        <v>45825</v>
      </c>
      <c r="B16" t="s">
        <v>17</v>
      </c>
      <c r="C16" t="s">
        <v>18</v>
      </c>
      <c r="D16">
        <v>5</v>
      </c>
      <c r="E16">
        <v>3150</v>
      </c>
      <c r="F16">
        <f t="shared" si="0"/>
        <v>15750</v>
      </c>
    </row>
    <row r="17" spans="1:6">
      <c r="A17" s="3">
        <v>45825</v>
      </c>
      <c r="B17" t="s">
        <v>19</v>
      </c>
      <c r="C17" t="s">
        <v>20</v>
      </c>
      <c r="D17">
        <v>4</v>
      </c>
      <c r="E17">
        <v>1480</v>
      </c>
      <c r="F17">
        <f t="shared" si="0"/>
        <v>5920</v>
      </c>
    </row>
    <row r="18" spans="1:6">
      <c r="A18" s="3">
        <v>45825</v>
      </c>
      <c r="B18" t="s">
        <v>26</v>
      </c>
      <c r="C18" t="s">
        <v>27</v>
      </c>
      <c r="D18">
        <v>3</v>
      </c>
      <c r="E18">
        <v>890</v>
      </c>
      <c r="F18">
        <f t="shared" si="0"/>
        <v>2670</v>
      </c>
    </row>
    <row r="19" spans="1:6">
      <c r="A19" s="3">
        <v>45833</v>
      </c>
      <c r="B19" t="s">
        <v>28</v>
      </c>
      <c r="C19" t="s">
        <v>29</v>
      </c>
      <c r="D19">
        <v>4</v>
      </c>
      <c r="E19">
        <v>657</v>
      </c>
      <c r="F19">
        <f t="shared" si="0"/>
        <v>2628</v>
      </c>
    </row>
    <row r="20" spans="1:6">
      <c r="A20" s="3">
        <v>45833</v>
      </c>
      <c r="B20" t="s">
        <v>9</v>
      </c>
      <c r="C20" t="s">
        <v>10</v>
      </c>
      <c r="D20">
        <v>3</v>
      </c>
      <c r="E20">
        <v>1720</v>
      </c>
      <c r="F20">
        <f t="shared" si="0"/>
        <v>5160</v>
      </c>
    </row>
    <row r="21" spans="1:6">
      <c r="A21" s="3">
        <v>45833</v>
      </c>
      <c r="B21" t="s">
        <v>15</v>
      </c>
      <c r="C21" t="s">
        <v>16</v>
      </c>
      <c r="D21">
        <v>5</v>
      </c>
      <c r="E21">
        <v>4330</v>
      </c>
      <c r="F21">
        <f t="shared" si="0"/>
        <v>21650</v>
      </c>
    </row>
    <row r="22" spans="1:6">
      <c r="A22" s="3">
        <v>45833</v>
      </c>
      <c r="B22" t="s">
        <v>39</v>
      </c>
      <c r="C22" t="s">
        <v>39</v>
      </c>
      <c r="D22">
        <v>3</v>
      </c>
      <c r="E22">
        <v>800</v>
      </c>
      <c r="F22">
        <f t="shared" si="0"/>
        <v>2400</v>
      </c>
    </row>
    <row r="23" spans="1:6">
      <c r="A23" s="3">
        <v>45848</v>
      </c>
      <c r="B23" t="s">
        <v>17</v>
      </c>
      <c r="C23" t="s">
        <v>18</v>
      </c>
      <c r="D23">
        <v>3</v>
      </c>
      <c r="E23">
        <v>1720</v>
      </c>
      <c r="F23">
        <f t="shared" si="0"/>
        <v>5160</v>
      </c>
    </row>
    <row r="24" spans="1:6">
      <c r="A24" s="3">
        <v>45848</v>
      </c>
      <c r="B24" t="s">
        <v>13</v>
      </c>
      <c r="C24" t="s">
        <v>14</v>
      </c>
      <c r="D24">
        <v>6</v>
      </c>
      <c r="E24">
        <v>880</v>
      </c>
      <c r="F24">
        <f t="shared" si="0"/>
        <v>5280</v>
      </c>
    </row>
    <row r="25" spans="1:6">
      <c r="A25" s="3">
        <v>45848</v>
      </c>
      <c r="B25" t="s">
        <v>34</v>
      </c>
      <c r="C25" t="s">
        <v>35</v>
      </c>
      <c r="D25">
        <v>5</v>
      </c>
      <c r="E25">
        <v>540</v>
      </c>
      <c r="F25">
        <f t="shared" si="0"/>
        <v>2700</v>
      </c>
    </row>
    <row r="26" spans="1:6">
      <c r="A26" s="3">
        <v>45848</v>
      </c>
      <c r="B26" t="s">
        <v>26</v>
      </c>
      <c r="C26" t="s">
        <v>27</v>
      </c>
      <c r="D26">
        <v>7</v>
      </c>
      <c r="E26">
        <v>890</v>
      </c>
      <c r="F26">
        <f t="shared" si="0"/>
        <v>6230</v>
      </c>
    </row>
    <row r="27" spans="1:6">
      <c r="A27" s="3">
        <v>45866</v>
      </c>
      <c r="B27" t="s">
        <v>11</v>
      </c>
      <c r="C27" t="s">
        <v>12</v>
      </c>
      <c r="D27">
        <v>2</v>
      </c>
      <c r="E27">
        <v>3730</v>
      </c>
      <c r="F27">
        <f t="shared" si="0"/>
        <v>7460</v>
      </c>
    </row>
    <row r="28" spans="1:6">
      <c r="A28" s="3">
        <v>45866</v>
      </c>
      <c r="B28" t="s">
        <v>34</v>
      </c>
      <c r="C28" t="s">
        <v>35</v>
      </c>
      <c r="D28">
        <v>5</v>
      </c>
      <c r="E28">
        <v>540</v>
      </c>
      <c r="F28">
        <f t="shared" si="0"/>
        <v>2700</v>
      </c>
    </row>
    <row r="29" spans="1:6">
      <c r="A29" s="3">
        <v>45869</v>
      </c>
      <c r="B29" t="s">
        <v>22</v>
      </c>
      <c r="C29" t="s">
        <v>23</v>
      </c>
      <c r="D29">
        <v>4</v>
      </c>
      <c r="E29">
        <v>1560</v>
      </c>
      <c r="F29">
        <f t="shared" si="0"/>
        <v>6240</v>
      </c>
    </row>
    <row r="30" spans="1:6">
      <c r="A30" s="3">
        <v>45869</v>
      </c>
      <c r="B30" t="s">
        <v>15</v>
      </c>
      <c r="C30" t="s">
        <v>16</v>
      </c>
      <c r="D30">
        <v>3</v>
      </c>
      <c r="E30">
        <v>4330</v>
      </c>
      <c r="F30">
        <f t="shared" si="0"/>
        <v>12990</v>
      </c>
    </row>
    <row r="31" spans="1:6">
      <c r="A31" s="3">
        <v>45869</v>
      </c>
      <c r="B31" t="s">
        <v>13</v>
      </c>
      <c r="C31" t="s">
        <v>14</v>
      </c>
      <c r="D31">
        <v>3</v>
      </c>
      <c r="E31">
        <v>880</v>
      </c>
      <c r="F31">
        <f t="shared" si="0"/>
        <v>2640</v>
      </c>
    </row>
    <row r="32" spans="1:6">
      <c r="A32" s="3">
        <v>45869</v>
      </c>
      <c r="B32" t="s">
        <v>9</v>
      </c>
      <c r="C32" t="s">
        <v>10</v>
      </c>
      <c r="D32">
        <v>5</v>
      </c>
      <c r="E32">
        <v>1720</v>
      </c>
      <c r="F32">
        <f t="shared" si="0"/>
        <v>8600</v>
      </c>
    </row>
    <row r="33" spans="1:6">
      <c r="A33" s="3">
        <v>45900</v>
      </c>
      <c r="B33" t="s">
        <v>19</v>
      </c>
      <c r="C33" t="s">
        <v>20</v>
      </c>
      <c r="D33">
        <v>2</v>
      </c>
      <c r="E33">
        <v>1480</v>
      </c>
      <c r="F33">
        <f t="shared" si="0"/>
        <v>2960</v>
      </c>
    </row>
    <row r="34" spans="1:6">
      <c r="A34" s="3">
        <v>45896</v>
      </c>
      <c r="B34" t="s">
        <v>40</v>
      </c>
      <c r="C34" t="s">
        <v>41</v>
      </c>
      <c r="D34">
        <v>3</v>
      </c>
      <c r="E34">
        <v>580</v>
      </c>
      <c r="F34">
        <f t="shared" si="0"/>
        <v>1740</v>
      </c>
    </row>
    <row r="35" spans="1:6">
      <c r="A35" s="3">
        <v>45896</v>
      </c>
      <c r="B35" t="s">
        <v>9</v>
      </c>
      <c r="C35" t="s">
        <v>10</v>
      </c>
      <c r="D35">
        <v>5</v>
      </c>
      <c r="E35">
        <v>1720</v>
      </c>
      <c r="F35">
        <f t="shared" si="0"/>
        <v>8600</v>
      </c>
    </row>
    <row r="36" spans="1:6">
      <c r="A36" s="3">
        <v>45896</v>
      </c>
      <c r="B36" t="s">
        <v>22</v>
      </c>
      <c r="C36" t="s">
        <v>23</v>
      </c>
      <c r="D36">
        <v>5</v>
      </c>
      <c r="E36">
        <v>1560</v>
      </c>
      <c r="F36">
        <f t="shared" si="0"/>
        <v>7800</v>
      </c>
    </row>
    <row r="37" spans="1:6">
      <c r="A37" s="3">
        <v>45896</v>
      </c>
      <c r="B37" t="s">
        <v>13</v>
      </c>
      <c r="C37" t="s">
        <v>14</v>
      </c>
      <c r="D37">
        <v>9</v>
      </c>
      <c r="E37">
        <v>880</v>
      </c>
      <c r="F37">
        <f t="shared" si="0"/>
        <v>7920</v>
      </c>
    </row>
    <row r="38" spans="1:6">
      <c r="A38" s="3">
        <v>45896</v>
      </c>
      <c r="B38" t="s">
        <v>24</v>
      </c>
      <c r="C38" t="s">
        <v>25</v>
      </c>
      <c r="D38">
        <v>1</v>
      </c>
      <c r="E38">
        <v>3375</v>
      </c>
      <c r="F38">
        <f t="shared" si="0"/>
        <v>3375</v>
      </c>
    </row>
    <row r="39" spans="1:6">
      <c r="A39" s="3">
        <v>45896</v>
      </c>
      <c r="B39" t="s">
        <v>36</v>
      </c>
      <c r="C39" t="s">
        <v>37</v>
      </c>
      <c r="D39">
        <v>5</v>
      </c>
      <c r="E39">
        <v>1347</v>
      </c>
      <c r="F39">
        <f t="shared" si="0"/>
        <v>6735</v>
      </c>
    </row>
  </sheetData>
  <sortState xmlns:xlrd2="http://schemas.microsoft.com/office/spreadsheetml/2017/richdata2" ref="I3:N40">
    <sortCondition ref="J3:J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topLeftCell="A33" workbookViewId="0">
      <selection activeCell="C41" sqref="C41"/>
    </sheetView>
  </sheetViews>
  <sheetFormatPr defaultRowHeight="14.4"/>
  <cols>
    <col min="1" max="1" width="10.33203125" style="3" bestFit="1" customWidth="1"/>
    <col min="3" max="3" width="30.88671875" bestFit="1" customWidth="1"/>
    <col min="5" max="5" width="5" bestFit="1" customWidth="1"/>
    <col min="6" max="6" width="12.5546875" bestFit="1" customWidth="1"/>
    <col min="7" max="7" width="9.109375" bestFit="1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0" t="s">
        <v>56</v>
      </c>
    </row>
    <row r="2" spans="1:8">
      <c r="A2" s="3">
        <v>45779</v>
      </c>
      <c r="B2" t="s">
        <v>26</v>
      </c>
      <c r="C2" t="s">
        <v>27</v>
      </c>
      <c r="D2">
        <v>1</v>
      </c>
      <c r="E2">
        <v>985</v>
      </c>
      <c r="F2">
        <f>E2*D2</f>
        <v>985</v>
      </c>
      <c r="G2" t="s">
        <v>68</v>
      </c>
    </row>
    <row r="3" spans="1:8">
      <c r="A3" s="3">
        <v>45780</v>
      </c>
      <c r="B3" t="s">
        <v>40</v>
      </c>
      <c r="C3" t="s">
        <v>41</v>
      </c>
      <c r="D3">
        <v>2</v>
      </c>
      <c r="E3">
        <v>660</v>
      </c>
      <c r="F3">
        <f>E3*D3</f>
        <v>1320</v>
      </c>
      <c r="G3" t="s">
        <v>53</v>
      </c>
    </row>
    <row r="4" spans="1:8">
      <c r="A4" s="3">
        <v>45780</v>
      </c>
      <c r="B4" t="s">
        <v>76</v>
      </c>
      <c r="C4" t="s">
        <v>31</v>
      </c>
      <c r="D4">
        <v>1</v>
      </c>
      <c r="E4">
        <v>2500</v>
      </c>
      <c r="F4">
        <f>E4*D4</f>
        <v>2500</v>
      </c>
      <c r="G4" t="s">
        <v>53</v>
      </c>
    </row>
    <row r="5" spans="1:8">
      <c r="A5" s="3">
        <v>45785</v>
      </c>
      <c r="B5" t="s">
        <v>11</v>
      </c>
      <c r="C5" t="s">
        <v>12</v>
      </c>
      <c r="D5">
        <v>2</v>
      </c>
      <c r="E5">
        <v>4940</v>
      </c>
      <c r="F5">
        <f>E5*D5</f>
        <v>9880</v>
      </c>
      <c r="G5" t="s">
        <v>53</v>
      </c>
    </row>
    <row r="6" spans="1:8">
      <c r="A6" s="3">
        <v>45787</v>
      </c>
      <c r="B6" t="s">
        <v>38</v>
      </c>
      <c r="C6" t="s">
        <v>38</v>
      </c>
      <c r="D6">
        <v>1</v>
      </c>
      <c r="E6">
        <v>700</v>
      </c>
      <c r="F6">
        <f>E6*D6</f>
        <v>700</v>
      </c>
      <c r="G6" t="s">
        <v>54</v>
      </c>
    </row>
    <row r="7" spans="1:8">
      <c r="A7" s="3">
        <v>45795</v>
      </c>
      <c r="B7" t="s">
        <v>7</v>
      </c>
      <c r="C7" t="s">
        <v>8</v>
      </c>
      <c r="D7">
        <v>2</v>
      </c>
      <c r="E7">
        <v>710</v>
      </c>
      <c r="F7">
        <f>E7*D7</f>
        <v>1420</v>
      </c>
      <c r="G7" t="s">
        <v>53</v>
      </c>
    </row>
    <row r="8" spans="1:8">
      <c r="A8" s="3">
        <v>45797</v>
      </c>
      <c r="B8" t="s">
        <v>15</v>
      </c>
      <c r="C8" t="s">
        <v>16</v>
      </c>
      <c r="D8">
        <v>3</v>
      </c>
      <c r="E8">
        <v>5800</v>
      </c>
      <c r="F8">
        <f>E8*D8</f>
        <v>17400</v>
      </c>
      <c r="G8" t="s">
        <v>53</v>
      </c>
    </row>
    <row r="9" spans="1:8">
      <c r="A9" s="3">
        <v>45800</v>
      </c>
      <c r="B9" t="s">
        <v>5</v>
      </c>
      <c r="C9" t="s">
        <v>6</v>
      </c>
      <c r="D9">
        <v>3</v>
      </c>
      <c r="E9">
        <v>6300</v>
      </c>
      <c r="F9">
        <f>E9*D9</f>
        <v>18900</v>
      </c>
      <c r="G9" t="s">
        <v>68</v>
      </c>
      <c r="H9" t="s">
        <v>55</v>
      </c>
    </row>
    <row r="10" spans="1:8">
      <c r="A10" s="3">
        <v>45800</v>
      </c>
      <c r="B10" t="s">
        <v>34</v>
      </c>
      <c r="C10" t="s">
        <v>35</v>
      </c>
      <c r="D10">
        <v>2</v>
      </c>
      <c r="E10">
        <v>623</v>
      </c>
      <c r="F10">
        <f>E10*D10</f>
        <v>1246</v>
      </c>
      <c r="G10" t="s">
        <v>68</v>
      </c>
    </row>
    <row r="11" spans="1:8">
      <c r="A11" s="3">
        <v>45802</v>
      </c>
      <c r="B11" t="s">
        <v>42</v>
      </c>
      <c r="C11" t="s">
        <v>43</v>
      </c>
      <c r="D11">
        <v>2</v>
      </c>
      <c r="E11">
        <v>970</v>
      </c>
      <c r="F11">
        <f>E11*D11</f>
        <v>1940</v>
      </c>
      <c r="G11" t="s">
        <v>68</v>
      </c>
    </row>
    <row r="12" spans="1:8">
      <c r="A12" s="3">
        <v>45808</v>
      </c>
      <c r="B12" t="s">
        <v>17</v>
      </c>
      <c r="C12" t="s">
        <v>18</v>
      </c>
      <c r="D12">
        <v>1</v>
      </c>
      <c r="E12">
        <v>3910</v>
      </c>
      <c r="F12">
        <f>E12*D12</f>
        <v>3910</v>
      </c>
      <c r="G12" t="s">
        <v>54</v>
      </c>
    </row>
    <row r="13" spans="1:8">
      <c r="A13" s="3">
        <v>45813</v>
      </c>
      <c r="B13" t="s">
        <v>38</v>
      </c>
      <c r="C13" t="s">
        <v>38</v>
      </c>
      <c r="D13">
        <v>4</v>
      </c>
      <c r="E13">
        <v>700</v>
      </c>
      <c r="F13">
        <f>E13*D13</f>
        <v>2800</v>
      </c>
      <c r="G13" t="s">
        <v>53</v>
      </c>
    </row>
    <row r="14" spans="1:8">
      <c r="A14" s="3">
        <v>45817</v>
      </c>
      <c r="B14" t="s">
        <v>34</v>
      </c>
      <c r="C14" t="s">
        <v>35</v>
      </c>
      <c r="D14">
        <v>2</v>
      </c>
      <c r="E14">
        <v>623</v>
      </c>
      <c r="F14">
        <f>E14*D14</f>
        <v>1246</v>
      </c>
      <c r="G14" t="s">
        <v>53</v>
      </c>
    </row>
    <row r="15" spans="1:8">
      <c r="A15" s="3">
        <v>45820</v>
      </c>
      <c r="B15" t="s">
        <v>32</v>
      </c>
      <c r="C15" t="s">
        <v>33</v>
      </c>
      <c r="D15">
        <v>1</v>
      </c>
      <c r="E15">
        <v>2540</v>
      </c>
      <c r="F15">
        <f>E15*D15</f>
        <v>2540</v>
      </c>
      <c r="G15" t="s">
        <v>53</v>
      </c>
    </row>
    <row r="16" spans="1:8">
      <c r="A16" s="3">
        <v>45820</v>
      </c>
      <c r="B16" t="s">
        <v>34</v>
      </c>
      <c r="C16" t="s">
        <v>35</v>
      </c>
      <c r="D16">
        <v>2</v>
      </c>
      <c r="E16">
        <v>623</v>
      </c>
      <c r="F16">
        <f>E16*D16</f>
        <v>1246</v>
      </c>
      <c r="G16" t="s">
        <v>53</v>
      </c>
    </row>
    <row r="17" spans="1:7">
      <c r="A17" s="3">
        <v>45821</v>
      </c>
      <c r="B17" t="s">
        <v>28</v>
      </c>
      <c r="C17" t="s">
        <v>29</v>
      </c>
      <c r="D17">
        <v>2</v>
      </c>
      <c r="E17">
        <v>730</v>
      </c>
      <c r="F17">
        <f>E17*D17</f>
        <v>1460</v>
      </c>
      <c r="G17" t="s">
        <v>53</v>
      </c>
    </row>
    <row r="18" spans="1:7">
      <c r="A18" s="3">
        <v>45821</v>
      </c>
      <c r="B18" t="s">
        <v>36</v>
      </c>
      <c r="C18" t="s">
        <v>37</v>
      </c>
      <c r="D18">
        <v>5</v>
      </c>
      <c r="E18">
        <v>1485</v>
      </c>
      <c r="F18">
        <f>E18*D18</f>
        <v>7425</v>
      </c>
      <c r="G18" t="s">
        <v>53</v>
      </c>
    </row>
    <row r="19" spans="1:7">
      <c r="A19" s="3">
        <v>45826</v>
      </c>
      <c r="B19" t="s">
        <v>42</v>
      </c>
      <c r="C19" t="s">
        <v>43</v>
      </c>
      <c r="D19">
        <v>4</v>
      </c>
      <c r="E19">
        <v>970</v>
      </c>
      <c r="F19">
        <f>E19*D19</f>
        <v>3880</v>
      </c>
      <c r="G19" t="s">
        <v>53</v>
      </c>
    </row>
    <row r="20" spans="1:7">
      <c r="A20" s="3">
        <v>45826</v>
      </c>
      <c r="B20" t="s">
        <v>38</v>
      </c>
      <c r="C20" t="s">
        <v>38</v>
      </c>
      <c r="D20">
        <v>1</v>
      </c>
      <c r="E20">
        <v>700</v>
      </c>
      <c r="F20">
        <f>E20*D20</f>
        <v>700</v>
      </c>
      <c r="G20" t="s">
        <v>54</v>
      </c>
    </row>
    <row r="21" spans="1:7">
      <c r="A21" s="3">
        <v>45831</v>
      </c>
      <c r="B21" t="s">
        <v>21</v>
      </c>
      <c r="C21" t="s">
        <v>21</v>
      </c>
      <c r="D21">
        <v>2</v>
      </c>
      <c r="E21">
        <v>624</v>
      </c>
      <c r="F21">
        <f>E21*D21</f>
        <v>1248</v>
      </c>
      <c r="G21" t="s">
        <v>53</v>
      </c>
    </row>
    <row r="22" spans="1:7">
      <c r="A22" s="3">
        <v>45831</v>
      </c>
      <c r="B22" t="s">
        <v>24</v>
      </c>
      <c r="C22" t="s">
        <v>25</v>
      </c>
      <c r="D22">
        <v>3</v>
      </c>
      <c r="E22">
        <v>4310</v>
      </c>
      <c r="F22">
        <f>E22*D22</f>
        <v>12930</v>
      </c>
      <c r="G22" t="s">
        <v>53</v>
      </c>
    </row>
    <row r="23" spans="1:7">
      <c r="A23" s="3">
        <v>45833</v>
      </c>
      <c r="B23" t="s">
        <v>21</v>
      </c>
      <c r="C23" t="s">
        <v>21</v>
      </c>
      <c r="D23">
        <v>2</v>
      </c>
      <c r="E23">
        <v>624</v>
      </c>
      <c r="F23">
        <f>E23*D23</f>
        <v>1248</v>
      </c>
      <c r="G23" t="s">
        <v>53</v>
      </c>
    </row>
    <row r="24" spans="1:7">
      <c r="A24" s="3">
        <v>45833</v>
      </c>
      <c r="B24" t="s">
        <v>17</v>
      </c>
      <c r="C24" t="s">
        <v>18</v>
      </c>
      <c r="D24">
        <v>4</v>
      </c>
      <c r="E24">
        <v>3910</v>
      </c>
      <c r="F24">
        <f>E24*D24</f>
        <v>15640</v>
      </c>
      <c r="G24" t="s">
        <v>53</v>
      </c>
    </row>
    <row r="25" spans="1:7">
      <c r="A25" s="3">
        <v>45834</v>
      </c>
      <c r="B25" t="s">
        <v>34</v>
      </c>
      <c r="C25" t="s">
        <v>35</v>
      </c>
      <c r="D25">
        <v>1</v>
      </c>
      <c r="E25">
        <v>623</v>
      </c>
      <c r="F25">
        <f>E25*D25</f>
        <v>623</v>
      </c>
      <c r="G25" t="s">
        <v>54</v>
      </c>
    </row>
    <row r="26" spans="1:7">
      <c r="A26" s="3">
        <v>45835</v>
      </c>
      <c r="B26" t="s">
        <v>17</v>
      </c>
      <c r="C26" t="s">
        <v>18</v>
      </c>
      <c r="D26">
        <v>1</v>
      </c>
      <c r="E26">
        <v>3910</v>
      </c>
      <c r="F26">
        <f>E26*D26</f>
        <v>3910</v>
      </c>
      <c r="G26" t="s">
        <v>54</v>
      </c>
    </row>
    <row r="27" spans="1:7">
      <c r="A27" s="3">
        <v>45835</v>
      </c>
      <c r="B27" t="s">
        <v>5</v>
      </c>
      <c r="C27" t="s">
        <v>6</v>
      </c>
      <c r="D27">
        <v>1</v>
      </c>
      <c r="E27">
        <v>6300</v>
      </c>
      <c r="F27">
        <f>E27*D27</f>
        <v>6300</v>
      </c>
      <c r="G27" t="s">
        <v>54</v>
      </c>
    </row>
    <row r="28" spans="1:7">
      <c r="A28" s="3">
        <v>45838</v>
      </c>
      <c r="B28" t="s">
        <v>36</v>
      </c>
      <c r="C28" t="s">
        <v>37</v>
      </c>
      <c r="D28">
        <v>2</v>
      </c>
      <c r="E28">
        <v>1485</v>
      </c>
      <c r="F28">
        <f>E28*D28</f>
        <v>2970</v>
      </c>
      <c r="G28" t="s">
        <v>53</v>
      </c>
    </row>
    <row r="29" spans="1:7">
      <c r="A29" s="3">
        <v>45838</v>
      </c>
      <c r="B29" t="s">
        <v>24</v>
      </c>
      <c r="C29" t="s">
        <v>25</v>
      </c>
      <c r="D29">
        <v>2</v>
      </c>
      <c r="E29">
        <v>4310</v>
      </c>
      <c r="F29">
        <f>E29*D29</f>
        <v>8620</v>
      </c>
      <c r="G29" t="s">
        <v>53</v>
      </c>
    </row>
    <row r="30" spans="1:7">
      <c r="A30" s="3">
        <v>45842</v>
      </c>
      <c r="B30" t="s">
        <v>17</v>
      </c>
      <c r="C30" t="s">
        <v>18</v>
      </c>
      <c r="D30">
        <v>3</v>
      </c>
      <c r="E30">
        <v>3910</v>
      </c>
      <c r="F30">
        <f>E30*D30</f>
        <v>11730</v>
      </c>
      <c r="G30" t="s">
        <v>53</v>
      </c>
    </row>
    <row r="31" spans="1:7">
      <c r="A31" s="3">
        <v>45846</v>
      </c>
      <c r="B31" t="s">
        <v>19</v>
      </c>
      <c r="C31" t="s">
        <v>20</v>
      </c>
      <c r="D31">
        <v>4</v>
      </c>
      <c r="E31">
        <v>1723</v>
      </c>
      <c r="F31">
        <f>E31*D31</f>
        <v>6892</v>
      </c>
      <c r="G31" t="s">
        <v>53</v>
      </c>
    </row>
    <row r="32" spans="1:7">
      <c r="A32" s="3">
        <v>45847</v>
      </c>
      <c r="B32" t="s">
        <v>15</v>
      </c>
      <c r="C32" t="s">
        <v>16</v>
      </c>
      <c r="D32">
        <v>2</v>
      </c>
      <c r="E32">
        <v>5800</v>
      </c>
      <c r="F32">
        <f>E32*D32</f>
        <v>11600</v>
      </c>
      <c r="G32" t="s">
        <v>53</v>
      </c>
    </row>
    <row r="33" spans="1:7">
      <c r="A33" s="3">
        <v>45847</v>
      </c>
      <c r="B33" t="s">
        <v>42</v>
      </c>
      <c r="C33" t="s">
        <v>43</v>
      </c>
      <c r="D33">
        <v>1</v>
      </c>
      <c r="E33">
        <v>970</v>
      </c>
      <c r="F33">
        <f>E33*D33</f>
        <v>970</v>
      </c>
      <c r="G33" t="s">
        <v>54</v>
      </c>
    </row>
    <row r="34" spans="1:7">
      <c r="A34" s="3">
        <v>45847</v>
      </c>
      <c r="B34" t="s">
        <v>39</v>
      </c>
      <c r="C34" t="s">
        <v>39</v>
      </c>
      <c r="D34">
        <v>1</v>
      </c>
      <c r="E34">
        <v>990</v>
      </c>
      <c r="F34">
        <f>E34*D34</f>
        <v>990</v>
      </c>
      <c r="G34" t="s">
        <v>53</v>
      </c>
    </row>
    <row r="35" spans="1:7">
      <c r="A35" s="3">
        <v>45848</v>
      </c>
      <c r="B35" t="s">
        <v>32</v>
      </c>
      <c r="C35" t="s">
        <v>33</v>
      </c>
      <c r="D35">
        <v>1</v>
      </c>
      <c r="E35">
        <v>2540</v>
      </c>
      <c r="F35">
        <f>E35*D35</f>
        <v>2540</v>
      </c>
      <c r="G35" t="s">
        <v>53</v>
      </c>
    </row>
    <row r="36" spans="1:7">
      <c r="A36" s="3">
        <v>45848</v>
      </c>
      <c r="B36" t="s">
        <v>9</v>
      </c>
      <c r="C36" t="s">
        <v>10</v>
      </c>
      <c r="D36">
        <v>1</v>
      </c>
      <c r="E36">
        <v>1960</v>
      </c>
      <c r="F36">
        <f>E36*D36</f>
        <v>1960</v>
      </c>
      <c r="G36" t="s">
        <v>53</v>
      </c>
    </row>
    <row r="37" spans="1:7">
      <c r="A37" s="3">
        <v>45849</v>
      </c>
      <c r="B37" t="s">
        <v>15</v>
      </c>
      <c r="C37" t="s">
        <v>16</v>
      </c>
      <c r="D37">
        <v>2</v>
      </c>
      <c r="E37">
        <v>5800</v>
      </c>
      <c r="F37">
        <f>E37*D37</f>
        <v>11600</v>
      </c>
      <c r="G37" t="s">
        <v>68</v>
      </c>
    </row>
    <row r="38" spans="1:7">
      <c r="A38" s="3">
        <v>45849</v>
      </c>
      <c r="B38" t="s">
        <v>17</v>
      </c>
      <c r="C38" t="s">
        <v>18</v>
      </c>
      <c r="D38">
        <v>4</v>
      </c>
      <c r="E38">
        <v>3910</v>
      </c>
      <c r="F38">
        <f>E38*D38</f>
        <v>15640</v>
      </c>
      <c r="G38" t="s">
        <v>53</v>
      </c>
    </row>
    <row r="39" spans="1:7">
      <c r="A39" s="3">
        <v>45850</v>
      </c>
      <c r="B39" t="s">
        <v>32</v>
      </c>
      <c r="C39" t="s">
        <v>33</v>
      </c>
      <c r="D39">
        <v>2</v>
      </c>
      <c r="E39">
        <v>2540</v>
      </c>
      <c r="F39">
        <f>E39*D39</f>
        <v>5080</v>
      </c>
      <c r="G39" t="s">
        <v>53</v>
      </c>
    </row>
    <row r="40" spans="1:7">
      <c r="A40" s="3">
        <v>45853</v>
      </c>
      <c r="B40" t="s">
        <v>39</v>
      </c>
      <c r="C40" t="s">
        <v>39</v>
      </c>
      <c r="D40">
        <v>3</v>
      </c>
      <c r="E40">
        <v>990</v>
      </c>
      <c r="F40">
        <f>E40*D40</f>
        <v>2970</v>
      </c>
      <c r="G40" t="s">
        <v>53</v>
      </c>
    </row>
    <row r="41" spans="1:7">
      <c r="A41" s="3">
        <v>45855</v>
      </c>
      <c r="B41" t="s">
        <v>13</v>
      </c>
      <c r="C41" t="s">
        <v>14</v>
      </c>
      <c r="D41">
        <v>1</v>
      </c>
      <c r="E41">
        <v>1015</v>
      </c>
      <c r="F41">
        <f>E41*D41</f>
        <v>1015</v>
      </c>
      <c r="G41" t="s">
        <v>54</v>
      </c>
    </row>
    <row r="42" spans="1:7">
      <c r="A42" s="3">
        <v>45855</v>
      </c>
      <c r="B42" t="s">
        <v>9</v>
      </c>
      <c r="C42" t="s">
        <v>10</v>
      </c>
      <c r="D42">
        <v>1</v>
      </c>
      <c r="E42">
        <v>1960</v>
      </c>
      <c r="F42">
        <f>E42*D42</f>
        <v>1960</v>
      </c>
      <c r="G42" t="s">
        <v>54</v>
      </c>
    </row>
    <row r="43" spans="1:7">
      <c r="A43" s="3">
        <v>45857</v>
      </c>
      <c r="B43" t="s">
        <v>26</v>
      </c>
      <c r="C43" t="s">
        <v>27</v>
      </c>
      <c r="D43">
        <v>2</v>
      </c>
      <c r="E43">
        <v>985</v>
      </c>
      <c r="F43">
        <f>E43*D43</f>
        <v>1970</v>
      </c>
      <c r="G43" t="s">
        <v>53</v>
      </c>
    </row>
    <row r="44" spans="1:7">
      <c r="A44" s="3">
        <v>45860</v>
      </c>
      <c r="B44" t="s">
        <v>9</v>
      </c>
      <c r="C44" t="s">
        <v>10</v>
      </c>
      <c r="D44">
        <v>3</v>
      </c>
      <c r="E44">
        <v>1960</v>
      </c>
      <c r="F44">
        <f>E44*D44</f>
        <v>5880</v>
      </c>
      <c r="G44" t="s">
        <v>53</v>
      </c>
    </row>
    <row r="45" spans="1:7">
      <c r="A45" s="3">
        <v>45861</v>
      </c>
      <c r="B45" t="s">
        <v>9</v>
      </c>
      <c r="C45" t="s">
        <v>10</v>
      </c>
      <c r="D45">
        <v>1</v>
      </c>
      <c r="E45">
        <v>1960</v>
      </c>
      <c r="F45">
        <f>E45*D45</f>
        <v>1960</v>
      </c>
      <c r="G45" t="s">
        <v>54</v>
      </c>
    </row>
    <row r="46" spans="1:7">
      <c r="A46" s="3">
        <v>45865</v>
      </c>
      <c r="B46" t="s">
        <v>17</v>
      </c>
      <c r="C46" t="s">
        <v>18</v>
      </c>
      <c r="D46">
        <v>3</v>
      </c>
      <c r="E46">
        <v>3910</v>
      </c>
      <c r="F46">
        <f>E46*D46</f>
        <v>11730</v>
      </c>
      <c r="G46" t="s">
        <v>53</v>
      </c>
    </row>
    <row r="47" spans="1:7">
      <c r="A47" s="3">
        <v>45865</v>
      </c>
      <c r="B47" t="s">
        <v>42</v>
      </c>
      <c r="C47" t="s">
        <v>43</v>
      </c>
      <c r="D47">
        <v>3</v>
      </c>
      <c r="E47">
        <v>970</v>
      </c>
      <c r="F47">
        <f>E47*D47</f>
        <v>2910</v>
      </c>
      <c r="G47" t="s">
        <v>53</v>
      </c>
    </row>
    <row r="48" spans="1:7">
      <c r="A48" s="3">
        <v>45869</v>
      </c>
      <c r="B48" t="s">
        <v>40</v>
      </c>
      <c r="C48" t="s">
        <v>41</v>
      </c>
      <c r="D48">
        <v>2</v>
      </c>
      <c r="E48">
        <v>660</v>
      </c>
      <c r="F48">
        <f>E48*D48</f>
        <v>1320</v>
      </c>
      <c r="G48" t="s">
        <v>68</v>
      </c>
    </row>
    <row r="49" spans="1:7">
      <c r="A49" s="3">
        <v>45869</v>
      </c>
      <c r="B49" t="s">
        <v>15</v>
      </c>
      <c r="C49" t="s">
        <v>16</v>
      </c>
      <c r="D49">
        <v>1</v>
      </c>
      <c r="E49">
        <v>5800</v>
      </c>
      <c r="F49">
        <f>E49*D49</f>
        <v>5800</v>
      </c>
      <c r="G49" t="s">
        <v>53</v>
      </c>
    </row>
    <row r="50" spans="1:7">
      <c r="A50" s="3">
        <v>45872</v>
      </c>
      <c r="B50" t="s">
        <v>42</v>
      </c>
      <c r="C50" t="s">
        <v>43</v>
      </c>
      <c r="D50">
        <v>3</v>
      </c>
      <c r="E50">
        <v>970</v>
      </c>
      <c r="F50">
        <f>E50*D50</f>
        <v>2910</v>
      </c>
      <c r="G50" t="s">
        <v>53</v>
      </c>
    </row>
    <row r="51" spans="1:7">
      <c r="A51" s="3">
        <v>45872</v>
      </c>
      <c r="B51" t="s">
        <v>5</v>
      </c>
      <c r="C51" t="s">
        <v>6</v>
      </c>
      <c r="D51">
        <v>3</v>
      </c>
      <c r="E51">
        <v>6300</v>
      </c>
      <c r="F51">
        <f>E51*D51</f>
        <v>18900</v>
      </c>
      <c r="G51" t="s">
        <v>53</v>
      </c>
    </row>
    <row r="52" spans="1:7">
      <c r="A52" s="3">
        <v>45874</v>
      </c>
      <c r="B52" t="s">
        <v>39</v>
      </c>
      <c r="C52" t="s">
        <v>39</v>
      </c>
      <c r="D52">
        <v>3</v>
      </c>
      <c r="E52">
        <v>990</v>
      </c>
      <c r="F52">
        <f>E52*D52</f>
        <v>2970</v>
      </c>
      <c r="G52" t="s">
        <v>54</v>
      </c>
    </row>
    <row r="53" spans="1:7">
      <c r="A53" s="3">
        <v>45876</v>
      </c>
      <c r="B53" t="s">
        <v>24</v>
      </c>
      <c r="C53" t="s">
        <v>25</v>
      </c>
      <c r="D53">
        <v>5</v>
      </c>
      <c r="E53">
        <v>4310</v>
      </c>
      <c r="F53">
        <f>E53*D53</f>
        <v>21550</v>
      </c>
      <c r="G53" t="s">
        <v>53</v>
      </c>
    </row>
    <row r="54" spans="1:7">
      <c r="A54" s="3">
        <v>45876</v>
      </c>
      <c r="B54" t="s">
        <v>26</v>
      </c>
      <c r="C54" t="s">
        <v>27</v>
      </c>
      <c r="D54">
        <v>2</v>
      </c>
      <c r="E54">
        <v>985</v>
      </c>
      <c r="F54">
        <f>E54*D54</f>
        <v>1970</v>
      </c>
      <c r="G54" t="s">
        <v>53</v>
      </c>
    </row>
    <row r="55" spans="1:7">
      <c r="A55" s="3">
        <v>45877</v>
      </c>
      <c r="B55" t="s">
        <v>11</v>
      </c>
      <c r="C55" t="s">
        <v>12</v>
      </c>
      <c r="D55">
        <v>2</v>
      </c>
      <c r="E55">
        <v>4940</v>
      </c>
      <c r="F55">
        <f>E55*D55</f>
        <v>9880</v>
      </c>
      <c r="G55" t="s">
        <v>53</v>
      </c>
    </row>
    <row r="56" spans="1:7">
      <c r="A56" s="3">
        <v>45878</v>
      </c>
      <c r="B56" t="s">
        <v>15</v>
      </c>
      <c r="C56" t="s">
        <v>16</v>
      </c>
      <c r="D56">
        <v>2</v>
      </c>
      <c r="E56">
        <v>5800</v>
      </c>
      <c r="F56">
        <f>E56*D56</f>
        <v>11600</v>
      </c>
      <c r="G56" t="s">
        <v>53</v>
      </c>
    </row>
    <row r="57" spans="1:7">
      <c r="A57" s="3">
        <v>45880</v>
      </c>
      <c r="B57" t="s">
        <v>26</v>
      </c>
      <c r="C57" t="s">
        <v>27</v>
      </c>
      <c r="D57">
        <v>1</v>
      </c>
      <c r="E57">
        <v>985</v>
      </c>
      <c r="F57">
        <f>E57*D57</f>
        <v>985</v>
      </c>
      <c r="G57" t="s">
        <v>54</v>
      </c>
    </row>
    <row r="58" spans="1:7">
      <c r="A58" s="3">
        <v>45881</v>
      </c>
      <c r="B58" t="s">
        <v>5</v>
      </c>
      <c r="C58" t="s">
        <v>6</v>
      </c>
      <c r="D58">
        <v>2</v>
      </c>
      <c r="E58">
        <v>6300</v>
      </c>
      <c r="F58">
        <f>E58*D58</f>
        <v>12600</v>
      </c>
      <c r="G58" t="s">
        <v>53</v>
      </c>
    </row>
    <row r="59" spans="1:7">
      <c r="A59" s="3">
        <v>45881</v>
      </c>
      <c r="B59" t="s">
        <v>11</v>
      </c>
      <c r="C59" t="s">
        <v>12</v>
      </c>
      <c r="D59">
        <v>3</v>
      </c>
      <c r="E59">
        <v>4940</v>
      </c>
      <c r="F59">
        <f>E59*D59</f>
        <v>14820</v>
      </c>
      <c r="G59" t="s">
        <v>53</v>
      </c>
    </row>
    <row r="60" spans="1:7">
      <c r="A60" s="3">
        <v>45881</v>
      </c>
      <c r="B60" t="s">
        <v>22</v>
      </c>
      <c r="C60" t="s">
        <v>23</v>
      </c>
      <c r="D60">
        <v>1</v>
      </c>
      <c r="E60">
        <v>1800</v>
      </c>
      <c r="F60">
        <f>E60*D60</f>
        <v>1800</v>
      </c>
      <c r="G60" t="s">
        <v>54</v>
      </c>
    </row>
    <row r="61" spans="1:7">
      <c r="A61" s="3">
        <v>45886</v>
      </c>
      <c r="B61" t="s">
        <v>22</v>
      </c>
      <c r="C61" t="s">
        <v>23</v>
      </c>
      <c r="D61">
        <v>4</v>
      </c>
      <c r="E61">
        <v>1800</v>
      </c>
      <c r="F61">
        <f>E61*D61</f>
        <v>7200</v>
      </c>
      <c r="G61" t="s">
        <v>53</v>
      </c>
    </row>
    <row r="62" spans="1:7">
      <c r="A62" s="3">
        <v>45886</v>
      </c>
      <c r="B62" t="s">
        <v>34</v>
      </c>
      <c r="C62" t="s">
        <v>35</v>
      </c>
      <c r="D62">
        <v>1</v>
      </c>
      <c r="E62">
        <v>623</v>
      </c>
      <c r="F62">
        <f>E62*D62</f>
        <v>623</v>
      </c>
      <c r="G62" t="s">
        <v>54</v>
      </c>
    </row>
    <row r="63" spans="1:7">
      <c r="A63" s="3">
        <v>45889</v>
      </c>
      <c r="B63" t="s">
        <v>9</v>
      </c>
      <c r="C63" t="s">
        <v>10</v>
      </c>
      <c r="D63">
        <v>1</v>
      </c>
      <c r="E63">
        <v>1960</v>
      </c>
      <c r="F63">
        <f>E63*D63</f>
        <v>1960</v>
      </c>
      <c r="G63" t="s">
        <v>54</v>
      </c>
    </row>
    <row r="64" spans="1:7">
      <c r="A64" s="3">
        <v>45891</v>
      </c>
      <c r="B64" t="s">
        <v>38</v>
      </c>
      <c r="C64" t="s">
        <v>38</v>
      </c>
      <c r="D64">
        <v>2</v>
      </c>
      <c r="E64">
        <v>700</v>
      </c>
      <c r="F64">
        <f>E64*D64</f>
        <v>1400</v>
      </c>
      <c r="G64" t="s">
        <v>68</v>
      </c>
    </row>
    <row r="65" spans="1:7">
      <c r="A65" s="3">
        <v>45894</v>
      </c>
      <c r="B65" t="s">
        <v>7</v>
      </c>
      <c r="C65" t="s">
        <v>8</v>
      </c>
      <c r="D65">
        <v>3</v>
      </c>
      <c r="E65">
        <v>710</v>
      </c>
      <c r="F65">
        <f>E65*D65</f>
        <v>2130</v>
      </c>
      <c r="G65" t="s">
        <v>53</v>
      </c>
    </row>
    <row r="66" spans="1:7">
      <c r="A66" s="3">
        <v>45898</v>
      </c>
      <c r="B66" t="s">
        <v>40</v>
      </c>
      <c r="C66" t="s">
        <v>41</v>
      </c>
      <c r="D66">
        <v>7</v>
      </c>
      <c r="E66">
        <v>660</v>
      </c>
      <c r="F66">
        <f>E66*D66</f>
        <v>4620</v>
      </c>
      <c r="G66" t="s">
        <v>68</v>
      </c>
    </row>
    <row r="67" spans="1:7">
      <c r="A67" s="3">
        <v>45898</v>
      </c>
      <c r="B67" t="s">
        <v>34</v>
      </c>
      <c r="C67" t="s">
        <v>35</v>
      </c>
      <c r="D67">
        <v>2</v>
      </c>
      <c r="E67">
        <v>623</v>
      </c>
      <c r="F67">
        <f>E67*D67</f>
        <v>1246</v>
      </c>
      <c r="G67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51"/>
  <sheetViews>
    <sheetView topLeftCell="A19" zoomScale="85" zoomScaleNormal="85" workbookViewId="0">
      <selection activeCell="D34" sqref="D34"/>
    </sheetView>
  </sheetViews>
  <sheetFormatPr defaultRowHeight="14.4"/>
  <cols>
    <col min="2" max="2" width="20.33203125" bestFit="1" customWidth="1"/>
    <col min="3" max="3" width="11" bestFit="1" customWidth="1"/>
    <col min="4" max="4" width="20.33203125" bestFit="1" customWidth="1"/>
    <col min="6" max="6" width="16.44140625" bestFit="1" customWidth="1"/>
    <col min="7" max="7" width="11" bestFit="1" customWidth="1"/>
    <col min="8" max="8" width="20.33203125" bestFit="1" customWidth="1"/>
    <col min="9" max="9" width="9.88671875" bestFit="1" customWidth="1"/>
    <col min="10" max="10" width="6" bestFit="1" customWidth="1"/>
    <col min="11" max="11" width="15.109375" bestFit="1" customWidth="1"/>
  </cols>
  <sheetData>
    <row r="1" spans="1:16" ht="23.4" customHeight="1">
      <c r="A1" s="15"/>
      <c r="B1" s="15"/>
      <c r="C1" s="20" t="s">
        <v>69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15"/>
      <c r="O1" s="15"/>
      <c r="P1" s="15"/>
    </row>
    <row r="3" spans="1:16" ht="28.8">
      <c r="B3" s="16" t="s">
        <v>70</v>
      </c>
      <c r="C3" s="8">
        <f>SUM(Sale!F:F)</f>
        <v>360668</v>
      </c>
      <c r="E3" s="14"/>
      <c r="F3" s="19" t="s">
        <v>1</v>
      </c>
      <c r="G3" s="19" t="s">
        <v>2</v>
      </c>
      <c r="H3" s="19" t="s">
        <v>62</v>
      </c>
      <c r="I3" s="19" t="s">
        <v>63</v>
      </c>
      <c r="J3" s="19" t="s">
        <v>64</v>
      </c>
      <c r="K3" s="19" t="s">
        <v>65</v>
      </c>
    </row>
    <row r="4" spans="1:16" ht="43.2">
      <c r="B4" s="16" t="s">
        <v>71</v>
      </c>
      <c r="C4" s="8">
        <f>SUM(Purchase!F:F)</f>
        <v>257691</v>
      </c>
      <c r="F4" s="21" t="s">
        <v>36</v>
      </c>
      <c r="G4" s="21" t="s">
        <v>37</v>
      </c>
      <c r="H4" s="21">
        <v>1347</v>
      </c>
      <c r="I4" s="21">
        <v>1485</v>
      </c>
      <c r="J4" s="21">
        <f>I4-H4</f>
        <v>138</v>
      </c>
      <c r="K4" s="22">
        <f>J4/H4*100</f>
        <v>10.244988864142538</v>
      </c>
    </row>
    <row r="5" spans="1:16" ht="72">
      <c r="B5" s="16" t="s">
        <v>72</v>
      </c>
      <c r="C5" s="8" t="s">
        <v>75</v>
      </c>
      <c r="F5" s="21" t="s">
        <v>5</v>
      </c>
      <c r="G5" s="21" t="s">
        <v>6</v>
      </c>
      <c r="H5" s="21">
        <v>4785</v>
      </c>
      <c r="I5" s="21">
        <v>6300</v>
      </c>
      <c r="J5" s="21">
        <f>I5-H5</f>
        <v>1515</v>
      </c>
      <c r="K5" s="22">
        <f>J5/H5*100</f>
        <v>31.661442006269592</v>
      </c>
    </row>
    <row r="6" spans="1:16">
      <c r="B6" s="16"/>
      <c r="C6" s="8"/>
      <c r="F6" s="21" t="s">
        <v>15</v>
      </c>
      <c r="G6" s="21" t="s">
        <v>16</v>
      </c>
      <c r="H6" s="21">
        <v>4330</v>
      </c>
      <c r="I6" s="21">
        <v>5800</v>
      </c>
      <c r="J6" s="21">
        <f>I6-H6</f>
        <v>1470</v>
      </c>
      <c r="K6" s="22">
        <f>J6/H6*100</f>
        <v>33.94919168591224</v>
      </c>
    </row>
    <row r="7" spans="1:16" ht="28.8">
      <c r="B7" s="16" t="s">
        <v>73</v>
      </c>
      <c r="C7" s="8" t="s">
        <v>18</v>
      </c>
      <c r="F7" s="21" t="s">
        <v>11</v>
      </c>
      <c r="G7" s="21" t="s">
        <v>12</v>
      </c>
      <c r="H7" s="21">
        <v>3730</v>
      </c>
      <c r="I7" s="21">
        <v>4940</v>
      </c>
      <c r="J7" s="21">
        <f>I7-H7</f>
        <v>1210</v>
      </c>
      <c r="K7" s="22">
        <f>J7/H7*100</f>
        <v>32.439678284182307</v>
      </c>
    </row>
    <row r="8" spans="1:16" ht="23.4" customHeight="1">
      <c r="B8" s="16"/>
      <c r="C8" s="17"/>
      <c r="F8" s="21" t="s">
        <v>17</v>
      </c>
      <c r="G8" s="21" t="s">
        <v>18</v>
      </c>
      <c r="H8" s="21">
        <v>3150</v>
      </c>
      <c r="I8" s="21">
        <v>3910</v>
      </c>
      <c r="J8" s="21">
        <f>I8-H8</f>
        <v>760</v>
      </c>
      <c r="K8" s="22">
        <f>J8/H8*100</f>
        <v>24.126984126984127</v>
      </c>
    </row>
    <row r="9" spans="1:16" ht="43.2" customHeight="1">
      <c r="B9" s="18" t="s">
        <v>74</v>
      </c>
      <c r="C9" s="8">
        <f>COUNTA(Sale!A:A)</f>
        <v>67</v>
      </c>
      <c r="F9" s="21" t="s">
        <v>24</v>
      </c>
      <c r="G9" s="21" t="s">
        <v>25</v>
      </c>
      <c r="H9" s="21">
        <v>3375</v>
      </c>
      <c r="I9" s="21">
        <v>4310</v>
      </c>
      <c r="J9" s="21">
        <f>I9-H9</f>
        <v>935</v>
      </c>
      <c r="K9" s="22">
        <f>J9/H9*100</f>
        <v>27.703703703703702</v>
      </c>
    </row>
    <row r="10" spans="1:16">
      <c r="F10" s="21" t="s">
        <v>38</v>
      </c>
      <c r="G10" s="21" t="s">
        <v>38</v>
      </c>
      <c r="H10" s="21">
        <v>590</v>
      </c>
      <c r="I10" s="21">
        <v>700</v>
      </c>
      <c r="J10" s="21">
        <f>I10-H10</f>
        <v>110</v>
      </c>
      <c r="K10" s="22">
        <f>J10/H10*100</f>
        <v>18.64406779661017</v>
      </c>
    </row>
    <row r="11" spans="1:16">
      <c r="F11" s="21" t="s">
        <v>34</v>
      </c>
      <c r="G11" s="21" t="s">
        <v>35</v>
      </c>
      <c r="H11" s="21">
        <v>540</v>
      </c>
      <c r="I11" s="21">
        <v>623</v>
      </c>
      <c r="J11" s="21">
        <f>I11-H11</f>
        <v>83</v>
      </c>
      <c r="K11" s="22">
        <f>J11/H11*100</f>
        <v>15.37037037037037</v>
      </c>
    </row>
    <row r="12" spans="1:16">
      <c r="F12" s="21" t="s">
        <v>7</v>
      </c>
      <c r="G12" s="21" t="s">
        <v>8</v>
      </c>
      <c r="H12" s="21">
        <v>625</v>
      </c>
      <c r="I12" s="21">
        <v>710</v>
      </c>
      <c r="J12" s="21">
        <f>I12-H12</f>
        <v>85</v>
      </c>
      <c r="K12" s="22">
        <f>J12/H12*100</f>
        <v>13.600000000000001</v>
      </c>
    </row>
    <row r="13" spans="1:16">
      <c r="F13" s="21" t="s">
        <v>40</v>
      </c>
      <c r="G13" s="21" t="s">
        <v>41</v>
      </c>
      <c r="H13" s="21">
        <v>580</v>
      </c>
      <c r="I13" s="21">
        <v>660</v>
      </c>
      <c r="J13" s="21">
        <f>I13-H13</f>
        <v>80</v>
      </c>
      <c r="K13" s="22">
        <f>J13/H13*100</f>
        <v>13.793103448275861</v>
      </c>
    </row>
    <row r="14" spans="1:16">
      <c r="F14" s="21" t="s">
        <v>26</v>
      </c>
      <c r="G14" s="21" t="s">
        <v>27</v>
      </c>
      <c r="H14" s="21">
        <v>890</v>
      </c>
      <c r="I14" s="21">
        <v>985</v>
      </c>
      <c r="J14" s="21">
        <f>I14-H14</f>
        <v>95</v>
      </c>
      <c r="K14" s="22">
        <f>J14/H14*100</f>
        <v>10.674157303370785</v>
      </c>
    </row>
    <row r="15" spans="1:16">
      <c r="F15" s="21" t="s">
        <v>42</v>
      </c>
      <c r="G15" s="21" t="s">
        <v>43</v>
      </c>
      <c r="H15" s="21">
        <v>854</v>
      </c>
      <c r="I15" s="21">
        <v>970</v>
      </c>
      <c r="J15" s="21">
        <f>I15-H15</f>
        <v>116</v>
      </c>
      <c r="K15" s="22">
        <f>J15/H15*100</f>
        <v>13.583138173302109</v>
      </c>
    </row>
    <row r="16" spans="1:16">
      <c r="F16" s="21" t="s">
        <v>13</v>
      </c>
      <c r="G16" s="21" t="s">
        <v>14</v>
      </c>
      <c r="H16" s="21">
        <v>880</v>
      </c>
      <c r="I16" s="21">
        <v>1015</v>
      </c>
      <c r="J16" s="21">
        <f>I16-H16</f>
        <v>135</v>
      </c>
      <c r="K16" s="22">
        <f>J16/H16*100</f>
        <v>15.340909090909092</v>
      </c>
    </row>
    <row r="17" spans="2:11">
      <c r="F17" s="21" t="s">
        <v>28</v>
      </c>
      <c r="G17" s="21" t="s">
        <v>29</v>
      </c>
      <c r="H17" s="21">
        <v>657</v>
      </c>
      <c r="I17" s="21">
        <v>730</v>
      </c>
      <c r="J17" s="21">
        <f>I17-H17</f>
        <v>73</v>
      </c>
      <c r="K17" s="22">
        <f>J17/H17*100</f>
        <v>11.111111111111111</v>
      </c>
    </row>
    <row r="18" spans="2:11">
      <c r="F18" s="21" t="s">
        <v>21</v>
      </c>
      <c r="G18" s="21" t="s">
        <v>21</v>
      </c>
      <c r="H18" s="21">
        <v>560</v>
      </c>
      <c r="I18" s="21">
        <v>624</v>
      </c>
      <c r="J18" s="21">
        <f>I18-H18</f>
        <v>64</v>
      </c>
      <c r="K18" s="22">
        <f>J18/H18*100</f>
        <v>11.428571428571429</v>
      </c>
    </row>
    <row r="19" spans="2:11">
      <c r="F19" s="21" t="s">
        <v>39</v>
      </c>
      <c r="G19" s="21" t="s">
        <v>39</v>
      </c>
      <c r="H19" s="21">
        <v>800</v>
      </c>
      <c r="I19" s="21">
        <v>990</v>
      </c>
      <c r="J19" s="21">
        <f>I19-H19</f>
        <v>190</v>
      </c>
      <c r="K19" s="22">
        <f>J19/H19*100</f>
        <v>23.75</v>
      </c>
    </row>
    <row r="20" spans="2:11">
      <c r="F20" s="21" t="s">
        <v>9</v>
      </c>
      <c r="G20" s="21" t="s">
        <v>10</v>
      </c>
      <c r="H20" s="21">
        <v>1720</v>
      </c>
      <c r="I20" s="21">
        <v>1960</v>
      </c>
      <c r="J20" s="21">
        <f>I20-H20</f>
        <v>240</v>
      </c>
      <c r="K20" s="22">
        <f>J20/H20*100</f>
        <v>13.953488372093023</v>
      </c>
    </row>
    <row r="21" spans="2:11">
      <c r="F21" s="21" t="s">
        <v>32</v>
      </c>
      <c r="G21" s="21" t="s">
        <v>33</v>
      </c>
      <c r="H21" s="21">
        <v>2260</v>
      </c>
      <c r="I21" s="21">
        <v>2540</v>
      </c>
      <c r="J21" s="21">
        <f>I21-H21</f>
        <v>280</v>
      </c>
      <c r="K21" s="22">
        <f>J21/H21*100</f>
        <v>12.389380530973451</v>
      </c>
    </row>
    <row r="22" spans="2:11">
      <c r="F22" s="21" t="s">
        <v>22</v>
      </c>
      <c r="G22" s="21" t="s">
        <v>23</v>
      </c>
      <c r="H22" s="21">
        <v>1560</v>
      </c>
      <c r="I22" s="21">
        <v>1800</v>
      </c>
      <c r="J22" s="21">
        <f>I22-H22</f>
        <v>240</v>
      </c>
      <c r="K22" s="22">
        <f>J22/H22*100</f>
        <v>15.384615384615385</v>
      </c>
    </row>
    <row r="23" spans="2:11">
      <c r="F23" s="21" t="s">
        <v>30</v>
      </c>
      <c r="G23" s="21" t="s">
        <v>31</v>
      </c>
      <c r="H23" s="21">
        <v>2050</v>
      </c>
      <c r="I23" s="21">
        <v>2500</v>
      </c>
      <c r="J23" s="21">
        <f>I23-H23</f>
        <v>450</v>
      </c>
      <c r="K23" s="22">
        <f>J23/H23*100</f>
        <v>21.951219512195124</v>
      </c>
    </row>
    <row r="24" spans="2:11">
      <c r="F24" s="21" t="s">
        <v>19</v>
      </c>
      <c r="G24" s="21" t="s">
        <v>20</v>
      </c>
      <c r="H24" s="21">
        <v>1480</v>
      </c>
      <c r="I24" s="21">
        <v>1723</v>
      </c>
      <c r="J24" s="21">
        <f>I24-H24</f>
        <v>243</v>
      </c>
      <c r="K24" s="22">
        <f>J24/H24*100</f>
        <v>16.418918918918919</v>
      </c>
    </row>
    <row r="29" spans="2:11">
      <c r="B29" s="4" t="s">
        <v>44</v>
      </c>
      <c r="C29" t="s">
        <v>67</v>
      </c>
      <c r="D29" t="s">
        <v>46</v>
      </c>
      <c r="F29" s="4" t="s">
        <v>44</v>
      </c>
      <c r="G29" t="s">
        <v>67</v>
      </c>
      <c r="H29" t="s">
        <v>46</v>
      </c>
    </row>
    <row r="30" spans="2:11">
      <c r="B30" s="5" t="s">
        <v>19</v>
      </c>
      <c r="C30" s="9">
        <v>4</v>
      </c>
      <c r="D30" s="9">
        <v>6892</v>
      </c>
      <c r="F30" s="5" t="s">
        <v>19</v>
      </c>
      <c r="G30" s="9">
        <v>8</v>
      </c>
      <c r="H30" s="9">
        <v>11840</v>
      </c>
    </row>
    <row r="31" spans="2:11">
      <c r="B31" s="5" t="s">
        <v>22</v>
      </c>
      <c r="C31" s="9">
        <v>5</v>
      </c>
      <c r="D31" s="9">
        <v>9000</v>
      </c>
      <c r="F31" s="5" t="s">
        <v>30</v>
      </c>
      <c r="G31" s="9">
        <v>2</v>
      </c>
      <c r="H31" s="9">
        <v>4100</v>
      </c>
    </row>
    <row r="32" spans="2:11">
      <c r="B32" s="5" t="s">
        <v>32</v>
      </c>
      <c r="C32" s="9">
        <v>4</v>
      </c>
      <c r="D32" s="9">
        <v>10160</v>
      </c>
      <c r="F32" s="5" t="s">
        <v>22</v>
      </c>
      <c r="G32" s="9">
        <v>14</v>
      </c>
      <c r="H32" s="9">
        <v>21840</v>
      </c>
    </row>
    <row r="33" spans="2:8">
      <c r="B33" s="5" t="s">
        <v>9</v>
      </c>
      <c r="C33" s="9">
        <v>7</v>
      </c>
      <c r="D33" s="9">
        <v>13720</v>
      </c>
      <c r="F33" s="5" t="s">
        <v>9</v>
      </c>
      <c r="G33" s="9">
        <v>18</v>
      </c>
      <c r="H33" s="9">
        <v>30960</v>
      </c>
    </row>
    <row r="34" spans="2:8">
      <c r="B34" s="5" t="s">
        <v>39</v>
      </c>
      <c r="C34" s="9">
        <v>7</v>
      </c>
      <c r="D34" s="9">
        <v>6930</v>
      </c>
      <c r="F34" s="5" t="s">
        <v>39</v>
      </c>
      <c r="G34" s="9">
        <v>3</v>
      </c>
      <c r="H34" s="9">
        <v>2400</v>
      </c>
    </row>
    <row r="35" spans="2:8">
      <c r="B35" s="5" t="s">
        <v>21</v>
      </c>
      <c r="C35" s="9">
        <v>4</v>
      </c>
      <c r="D35" s="9">
        <v>2496</v>
      </c>
      <c r="F35" s="5" t="s">
        <v>21</v>
      </c>
      <c r="G35" s="9">
        <v>6</v>
      </c>
      <c r="H35" s="9">
        <v>3360</v>
      </c>
    </row>
    <row r="36" spans="2:8">
      <c r="B36" s="5" t="s">
        <v>28</v>
      </c>
      <c r="C36" s="9">
        <v>2</v>
      </c>
      <c r="D36" s="9">
        <v>1460</v>
      </c>
      <c r="F36" s="5" t="s">
        <v>28</v>
      </c>
      <c r="G36" s="9">
        <v>7</v>
      </c>
      <c r="H36" s="9">
        <v>4599</v>
      </c>
    </row>
    <row r="37" spans="2:8">
      <c r="B37" s="5" t="s">
        <v>13</v>
      </c>
      <c r="C37" s="9">
        <v>1</v>
      </c>
      <c r="D37" s="9">
        <v>1015</v>
      </c>
      <c r="F37" s="5" t="s">
        <v>13</v>
      </c>
      <c r="G37" s="9">
        <v>18</v>
      </c>
      <c r="H37" s="9">
        <v>15840</v>
      </c>
    </row>
    <row r="38" spans="2:8">
      <c r="B38" s="5" t="s">
        <v>42</v>
      </c>
      <c r="C38" s="9">
        <v>13</v>
      </c>
      <c r="D38" s="9">
        <v>12610</v>
      </c>
      <c r="F38" s="5" t="s">
        <v>42</v>
      </c>
      <c r="G38" s="9">
        <v>8</v>
      </c>
      <c r="H38" s="9">
        <v>6832</v>
      </c>
    </row>
    <row r="39" spans="2:8">
      <c r="B39" s="5" t="s">
        <v>26</v>
      </c>
      <c r="C39" s="9">
        <v>6</v>
      </c>
      <c r="D39" s="9">
        <v>5910</v>
      </c>
      <c r="F39" s="5" t="s">
        <v>26</v>
      </c>
      <c r="G39" s="9">
        <v>15</v>
      </c>
      <c r="H39" s="9">
        <v>13350</v>
      </c>
    </row>
    <row r="40" spans="2:8">
      <c r="B40" s="5" t="s">
        <v>40</v>
      </c>
      <c r="C40" s="9">
        <v>11</v>
      </c>
      <c r="D40" s="9">
        <v>7260</v>
      </c>
      <c r="F40" s="5" t="s">
        <v>40</v>
      </c>
      <c r="G40" s="9">
        <v>3</v>
      </c>
      <c r="H40" s="9">
        <v>1740</v>
      </c>
    </row>
    <row r="41" spans="2:8">
      <c r="B41" s="5" t="s">
        <v>7</v>
      </c>
      <c r="C41" s="9">
        <v>5</v>
      </c>
      <c r="D41" s="9">
        <v>3550</v>
      </c>
      <c r="F41" s="5" t="s">
        <v>34</v>
      </c>
      <c r="G41" s="9">
        <v>10</v>
      </c>
      <c r="H41" s="9">
        <v>5400</v>
      </c>
    </row>
    <row r="42" spans="2:8">
      <c r="B42" s="5" t="s">
        <v>34</v>
      </c>
      <c r="C42" s="9">
        <v>10</v>
      </c>
      <c r="D42" s="9">
        <v>6230</v>
      </c>
      <c r="F42" s="5" t="s">
        <v>24</v>
      </c>
      <c r="G42" s="9">
        <v>8</v>
      </c>
      <c r="H42" s="9">
        <v>27000</v>
      </c>
    </row>
    <row r="43" spans="2:8">
      <c r="B43" s="5" t="s">
        <v>38</v>
      </c>
      <c r="C43" s="9">
        <v>8</v>
      </c>
      <c r="D43" s="9">
        <v>5600</v>
      </c>
      <c r="F43" s="5" t="s">
        <v>17</v>
      </c>
      <c r="G43" s="9">
        <v>14</v>
      </c>
      <c r="H43" s="9">
        <v>44100</v>
      </c>
    </row>
    <row r="44" spans="2:8">
      <c r="B44" s="5" t="s">
        <v>24</v>
      </c>
      <c r="C44" s="9">
        <v>10</v>
      </c>
      <c r="D44" s="9">
        <v>43100</v>
      </c>
      <c r="F44" s="5" t="s">
        <v>11</v>
      </c>
      <c r="G44" s="9">
        <v>2</v>
      </c>
      <c r="H44" s="9">
        <v>7460</v>
      </c>
    </row>
    <row r="45" spans="2:8">
      <c r="B45" s="5" t="s">
        <v>17</v>
      </c>
      <c r="C45" s="9">
        <v>16</v>
      </c>
      <c r="D45" s="9">
        <v>62560</v>
      </c>
      <c r="F45" s="5" t="s">
        <v>15</v>
      </c>
      <c r="G45" s="9">
        <v>13</v>
      </c>
      <c r="H45" s="9">
        <v>56290</v>
      </c>
    </row>
    <row r="46" spans="2:8">
      <c r="B46" s="5" t="s">
        <v>11</v>
      </c>
      <c r="C46" s="9">
        <v>7</v>
      </c>
      <c r="D46" s="9">
        <v>34580</v>
      </c>
      <c r="F46" s="5" t="s">
        <v>36</v>
      </c>
      <c r="G46" s="9">
        <v>10</v>
      </c>
      <c r="H46" s="9">
        <v>13470</v>
      </c>
    </row>
    <row r="47" spans="2:8">
      <c r="B47" s="5" t="s">
        <v>15</v>
      </c>
      <c r="C47" s="9">
        <v>10</v>
      </c>
      <c r="D47" s="9">
        <v>58000</v>
      </c>
      <c r="F47" s="5" t="s">
        <v>45</v>
      </c>
      <c r="G47" s="9">
        <v>159</v>
      </c>
      <c r="H47" s="9">
        <v>270581</v>
      </c>
    </row>
    <row r="48" spans="2:8">
      <c r="B48" s="5" t="s">
        <v>5</v>
      </c>
      <c r="C48" s="9">
        <v>9</v>
      </c>
      <c r="D48" s="9">
        <v>56700</v>
      </c>
    </row>
    <row r="49" spans="2:4">
      <c r="B49" s="5" t="s">
        <v>36</v>
      </c>
      <c r="C49" s="9">
        <v>7</v>
      </c>
      <c r="D49" s="9">
        <v>10395</v>
      </c>
    </row>
    <row r="50" spans="2:4">
      <c r="B50" s="5" t="s">
        <v>76</v>
      </c>
      <c r="C50" s="9">
        <v>1</v>
      </c>
      <c r="D50" s="9">
        <v>2500</v>
      </c>
    </row>
    <row r="51" spans="2:4">
      <c r="B51" s="5" t="s">
        <v>45</v>
      </c>
      <c r="C51" s="9">
        <v>147</v>
      </c>
      <c r="D51" s="9">
        <v>360668</v>
      </c>
    </row>
  </sheetData>
  <mergeCells count="1">
    <mergeCell ref="C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"/>
  <sheetViews>
    <sheetView workbookViewId="0">
      <selection activeCell="G18" sqref="G18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1901-6FC4-4C04-AD46-932561C59620}">
  <dimension ref="A1:N101"/>
  <sheetViews>
    <sheetView topLeftCell="B15" workbookViewId="0">
      <selection activeCell="G83" sqref="G83"/>
    </sheetView>
  </sheetViews>
  <sheetFormatPr defaultRowHeight="14.4"/>
  <cols>
    <col min="3" max="3" width="19.21875" bestFit="1" customWidth="1"/>
    <col min="4" max="4" width="15.88671875" bestFit="1" customWidth="1"/>
    <col min="5" max="5" width="10.44140625" bestFit="1" customWidth="1"/>
    <col min="6" max="8" width="19.21875" bestFit="1" customWidth="1"/>
    <col min="9" max="9" width="19.109375" bestFit="1" customWidth="1"/>
    <col min="10" max="10" width="10.44140625" bestFit="1" customWidth="1"/>
    <col min="11" max="11" width="19.21875" bestFit="1" customWidth="1"/>
    <col min="12" max="12" width="15.88671875" bestFit="1" customWidth="1"/>
    <col min="13" max="13" width="10.44140625" bestFit="1" customWidth="1"/>
    <col min="14" max="14" width="19.21875" bestFit="1" customWidth="1"/>
  </cols>
  <sheetData>
    <row r="1" spans="1:7">
      <c r="A1" s="6"/>
      <c r="B1" s="6"/>
    </row>
    <row r="2" spans="1:7" ht="43.2">
      <c r="A2" s="7" t="s">
        <v>47</v>
      </c>
      <c r="B2" s="8"/>
      <c r="F2" s="4" t="s">
        <v>44</v>
      </c>
      <c r="G2" t="s">
        <v>46</v>
      </c>
    </row>
    <row r="3" spans="1:7" ht="43.2">
      <c r="A3" s="7" t="s">
        <v>48</v>
      </c>
      <c r="B3" s="8"/>
      <c r="F3" s="5" t="s">
        <v>53</v>
      </c>
      <c r="G3" s="9">
        <v>329696</v>
      </c>
    </row>
    <row r="4" spans="1:7" ht="43.2">
      <c r="A4" s="7" t="s">
        <v>49</v>
      </c>
      <c r="B4" s="8"/>
      <c r="F4" s="5" t="s">
        <v>54</v>
      </c>
      <c r="G4" s="9">
        <v>33446</v>
      </c>
    </row>
    <row r="5" spans="1:7" ht="43.2">
      <c r="A5" s="7" t="s">
        <v>50</v>
      </c>
      <c r="B5" s="8"/>
      <c r="F5" s="5" t="s">
        <v>45</v>
      </c>
      <c r="G5" s="9">
        <v>363142</v>
      </c>
    </row>
    <row r="6" spans="1:7" ht="43.2">
      <c r="A6" s="7" t="s">
        <v>51</v>
      </c>
      <c r="B6" s="8"/>
    </row>
    <row r="7" spans="1:7" ht="43.2">
      <c r="A7" s="7" t="s">
        <v>52</v>
      </c>
      <c r="B7" s="8"/>
    </row>
    <row r="8" spans="1:7">
      <c r="A8" s="7"/>
      <c r="B8" s="8"/>
    </row>
    <row r="9" spans="1:7">
      <c r="A9" s="7"/>
      <c r="B9" s="8"/>
      <c r="D9" s="4" t="s">
        <v>44</v>
      </c>
      <c r="E9" t="s">
        <v>67</v>
      </c>
      <c r="F9" t="s">
        <v>46</v>
      </c>
    </row>
    <row r="10" spans="1:7">
      <c r="D10" s="5" t="s">
        <v>19</v>
      </c>
      <c r="E10" s="9">
        <v>8</v>
      </c>
      <c r="F10" s="9">
        <v>11840</v>
      </c>
    </row>
    <row r="11" spans="1:7">
      <c r="D11" s="5" t="s">
        <v>30</v>
      </c>
      <c r="E11" s="9">
        <v>2</v>
      </c>
      <c r="F11" s="9">
        <v>4100</v>
      </c>
    </row>
    <row r="12" spans="1:7">
      <c r="D12" s="5" t="s">
        <v>22</v>
      </c>
      <c r="E12" s="9">
        <v>14</v>
      </c>
      <c r="F12" s="9">
        <v>21840</v>
      </c>
    </row>
    <row r="13" spans="1:7">
      <c r="D13" s="5" t="s">
        <v>9</v>
      </c>
      <c r="E13" s="9">
        <v>18</v>
      </c>
      <c r="F13" s="9">
        <v>30960</v>
      </c>
    </row>
    <row r="14" spans="1:7">
      <c r="D14" s="5" t="s">
        <v>39</v>
      </c>
      <c r="E14" s="9">
        <v>3</v>
      </c>
      <c r="F14" s="9">
        <v>2400</v>
      </c>
    </row>
    <row r="15" spans="1:7">
      <c r="D15" s="5" t="s">
        <v>21</v>
      </c>
      <c r="E15" s="9">
        <v>6</v>
      </c>
      <c r="F15" s="9">
        <v>3360</v>
      </c>
    </row>
    <row r="16" spans="1:7">
      <c r="D16" s="5" t="s">
        <v>28</v>
      </c>
      <c r="E16" s="9">
        <v>7</v>
      </c>
      <c r="F16" s="9">
        <v>4599</v>
      </c>
    </row>
    <row r="17" spans="4:14">
      <c r="D17" s="5" t="s">
        <v>13</v>
      </c>
      <c r="E17" s="9">
        <v>18</v>
      </c>
      <c r="F17" s="9">
        <v>15840</v>
      </c>
    </row>
    <row r="18" spans="4:14">
      <c r="D18" s="5" t="s">
        <v>42</v>
      </c>
      <c r="E18" s="9">
        <v>8</v>
      </c>
      <c r="F18" s="9">
        <v>6832</v>
      </c>
    </row>
    <row r="19" spans="4:14">
      <c r="D19" s="5" t="s">
        <v>26</v>
      </c>
      <c r="E19" s="9">
        <v>15</v>
      </c>
      <c r="F19" s="9">
        <v>13350</v>
      </c>
    </row>
    <row r="20" spans="4:14">
      <c r="D20" s="5" t="s">
        <v>40</v>
      </c>
      <c r="E20" s="9">
        <v>3</v>
      </c>
      <c r="F20" s="9">
        <v>1740</v>
      </c>
    </row>
    <row r="21" spans="4:14">
      <c r="D21" s="5" t="s">
        <v>34</v>
      </c>
      <c r="E21" s="9">
        <v>10</v>
      </c>
      <c r="F21" s="9">
        <v>5400</v>
      </c>
    </row>
    <row r="22" spans="4:14">
      <c r="D22" s="5" t="s">
        <v>24</v>
      </c>
      <c r="E22" s="9">
        <v>8</v>
      </c>
      <c r="F22" s="9">
        <v>27000</v>
      </c>
    </row>
    <row r="23" spans="4:14">
      <c r="D23" s="5" t="s">
        <v>17</v>
      </c>
      <c r="E23" s="9">
        <v>14</v>
      </c>
      <c r="F23" s="9">
        <v>44100</v>
      </c>
    </row>
    <row r="24" spans="4:14">
      <c r="D24" s="5" t="s">
        <v>11</v>
      </c>
      <c r="E24" s="9">
        <v>2</v>
      </c>
      <c r="F24" s="9">
        <v>7460</v>
      </c>
    </row>
    <row r="25" spans="4:14">
      <c r="D25" s="5" t="s">
        <v>15</v>
      </c>
      <c r="E25" s="9">
        <v>13</v>
      </c>
      <c r="F25" s="9">
        <v>56290</v>
      </c>
    </row>
    <row r="26" spans="4:14">
      <c r="D26" s="5" t="s">
        <v>36</v>
      </c>
      <c r="E26" s="9">
        <v>10</v>
      </c>
      <c r="F26" s="9">
        <v>13470</v>
      </c>
    </row>
    <row r="27" spans="4:14">
      <c r="D27" s="5" t="s">
        <v>45</v>
      </c>
      <c r="E27" s="9">
        <v>159</v>
      </c>
      <c r="F27" s="9">
        <v>270581</v>
      </c>
    </row>
    <row r="31" spans="4:14">
      <c r="L31" s="4" t="s">
        <v>55</v>
      </c>
      <c r="M31" t="s">
        <v>67</v>
      </c>
      <c r="N31" t="s">
        <v>46</v>
      </c>
    </row>
    <row r="32" spans="4:14">
      <c r="L32" s="5" t="s">
        <v>19</v>
      </c>
      <c r="M32" s="9">
        <v>4</v>
      </c>
      <c r="N32" s="9">
        <v>6892</v>
      </c>
    </row>
    <row r="33" spans="12:14">
      <c r="L33" s="5" t="s">
        <v>30</v>
      </c>
      <c r="M33" s="9">
        <v>1</v>
      </c>
      <c r="N33" s="9">
        <v>2500</v>
      </c>
    </row>
    <row r="34" spans="12:14">
      <c r="L34" s="5" t="s">
        <v>22</v>
      </c>
      <c r="M34" s="9">
        <v>5</v>
      </c>
      <c r="N34" s="9">
        <v>9000</v>
      </c>
    </row>
    <row r="35" spans="12:14">
      <c r="L35" s="5" t="s">
        <v>32</v>
      </c>
      <c r="M35" s="9">
        <v>10</v>
      </c>
      <c r="N35" s="9">
        <v>25400</v>
      </c>
    </row>
    <row r="36" spans="12:14">
      <c r="L36" s="5" t="s">
        <v>9</v>
      </c>
      <c r="M36" s="9">
        <v>9</v>
      </c>
      <c r="N36" s="9">
        <v>17640</v>
      </c>
    </row>
    <row r="37" spans="12:14">
      <c r="L37" s="5" t="s">
        <v>39</v>
      </c>
      <c r="M37" s="9">
        <v>5</v>
      </c>
      <c r="N37" s="9">
        <v>4950</v>
      </c>
    </row>
    <row r="38" spans="12:14">
      <c r="L38" s="5" t="s">
        <v>21</v>
      </c>
      <c r="M38" s="9">
        <v>4</v>
      </c>
      <c r="N38" s="9">
        <v>2496</v>
      </c>
    </row>
    <row r="39" spans="12:14">
      <c r="L39" s="5" t="s">
        <v>28</v>
      </c>
      <c r="M39" s="9">
        <v>2</v>
      </c>
      <c r="N39" s="9">
        <v>1460</v>
      </c>
    </row>
    <row r="40" spans="12:14">
      <c r="L40" s="5" t="s">
        <v>13</v>
      </c>
      <c r="M40" s="9">
        <v>3</v>
      </c>
      <c r="N40" s="9">
        <v>3045</v>
      </c>
    </row>
    <row r="41" spans="12:14">
      <c r="L41" s="5" t="s">
        <v>42</v>
      </c>
      <c r="M41" s="9">
        <v>16</v>
      </c>
      <c r="N41" s="9">
        <v>15520</v>
      </c>
    </row>
    <row r="42" spans="12:14">
      <c r="L42" s="5" t="s">
        <v>26</v>
      </c>
      <c r="M42" s="9">
        <v>6</v>
      </c>
      <c r="N42" s="9">
        <v>5910</v>
      </c>
    </row>
    <row r="43" spans="12:14">
      <c r="L43" s="5" t="s">
        <v>40</v>
      </c>
      <c r="M43" s="9">
        <v>11</v>
      </c>
      <c r="N43" s="9">
        <v>7260</v>
      </c>
    </row>
    <row r="44" spans="12:14">
      <c r="L44" s="5" t="s">
        <v>7</v>
      </c>
      <c r="M44" s="9">
        <v>5</v>
      </c>
      <c r="N44" s="9">
        <v>3550</v>
      </c>
    </row>
    <row r="45" spans="12:14">
      <c r="L45" s="5" t="s">
        <v>34</v>
      </c>
      <c r="M45" s="9">
        <v>15</v>
      </c>
      <c r="N45" s="9">
        <v>9345</v>
      </c>
    </row>
    <row r="46" spans="12:14">
      <c r="L46" s="5" t="s">
        <v>38</v>
      </c>
      <c r="M46" s="9">
        <v>8</v>
      </c>
      <c r="N46" s="9">
        <v>5600</v>
      </c>
    </row>
    <row r="47" spans="12:14">
      <c r="L47" s="5" t="s">
        <v>24</v>
      </c>
      <c r="M47" s="9">
        <v>10</v>
      </c>
      <c r="N47" s="9">
        <v>43100</v>
      </c>
    </row>
    <row r="48" spans="12:14">
      <c r="L48" s="5" t="s">
        <v>17</v>
      </c>
      <c r="M48" s="9">
        <v>19</v>
      </c>
      <c r="N48" s="9">
        <v>74290</v>
      </c>
    </row>
    <row r="49" spans="3:14">
      <c r="C49" s="4" t="s">
        <v>46</v>
      </c>
      <c r="D49" s="4" t="s">
        <v>57</v>
      </c>
      <c r="L49" s="5" t="s">
        <v>11</v>
      </c>
      <c r="M49" s="9">
        <v>5</v>
      </c>
      <c r="N49" s="9">
        <v>24700</v>
      </c>
    </row>
    <row r="50" spans="3:14">
      <c r="C50" s="4" t="s">
        <v>44</v>
      </c>
      <c r="D50" t="s">
        <v>53</v>
      </c>
      <c r="E50" t="s">
        <v>54</v>
      </c>
      <c r="F50" t="s">
        <v>45</v>
      </c>
      <c r="L50" s="5" t="s">
        <v>15</v>
      </c>
      <c r="M50" s="9">
        <v>13</v>
      </c>
      <c r="N50" s="9">
        <v>75400</v>
      </c>
    </row>
    <row r="51" spans="3:14">
      <c r="C51" s="5" t="s">
        <v>19</v>
      </c>
      <c r="D51" s="9">
        <v>6892</v>
      </c>
      <c r="E51" s="9"/>
      <c r="F51" s="9">
        <v>6892</v>
      </c>
      <c r="L51" s="5" t="s">
        <v>5</v>
      </c>
      <c r="M51" s="9">
        <v>9</v>
      </c>
      <c r="N51" s="9">
        <v>56700</v>
      </c>
    </row>
    <row r="52" spans="3:14">
      <c r="C52" s="5" t="s">
        <v>30</v>
      </c>
      <c r="D52" s="9"/>
      <c r="E52" s="9">
        <v>2500</v>
      </c>
      <c r="F52" s="9">
        <v>2500</v>
      </c>
      <c r="L52" s="5" t="s">
        <v>36</v>
      </c>
      <c r="M52" s="9">
        <v>7</v>
      </c>
      <c r="N52" s="9">
        <v>10395</v>
      </c>
    </row>
    <row r="53" spans="3:14">
      <c r="C53" s="5" t="s">
        <v>22</v>
      </c>
      <c r="D53" s="9">
        <v>7200</v>
      </c>
      <c r="E53" s="9">
        <v>1800</v>
      </c>
      <c r="F53" s="9">
        <v>9000</v>
      </c>
      <c r="L53" s="5" t="s">
        <v>45</v>
      </c>
      <c r="M53" s="9">
        <v>167</v>
      </c>
      <c r="N53" s="9">
        <v>405153</v>
      </c>
    </row>
    <row r="54" spans="3:14">
      <c r="C54" s="5" t="s">
        <v>32</v>
      </c>
      <c r="D54" s="9">
        <v>22860</v>
      </c>
      <c r="E54" s="9">
        <v>2540</v>
      </c>
      <c r="F54" s="9">
        <v>25400</v>
      </c>
    </row>
    <row r="55" spans="3:14">
      <c r="C55" s="5" t="s">
        <v>9</v>
      </c>
      <c r="D55" s="9">
        <v>11760</v>
      </c>
      <c r="E55" s="9">
        <v>5880</v>
      </c>
      <c r="F55" s="9">
        <v>17640</v>
      </c>
    </row>
    <row r="56" spans="3:14">
      <c r="C56" s="5" t="s">
        <v>39</v>
      </c>
      <c r="D56" s="9">
        <v>3960</v>
      </c>
      <c r="E56" s="9">
        <v>990</v>
      </c>
      <c r="F56" s="9">
        <v>4950</v>
      </c>
    </row>
    <row r="57" spans="3:14">
      <c r="C57" s="5" t="s">
        <v>21</v>
      </c>
      <c r="D57" s="9">
        <v>2496</v>
      </c>
      <c r="E57" s="9"/>
      <c r="F57" s="9">
        <v>2496</v>
      </c>
    </row>
    <row r="58" spans="3:14">
      <c r="C58" s="5" t="s">
        <v>28</v>
      </c>
      <c r="D58" s="9">
        <v>1460</v>
      </c>
      <c r="E58" s="9"/>
      <c r="F58" s="9">
        <v>1460</v>
      </c>
    </row>
    <row r="59" spans="3:14">
      <c r="C59" s="5" t="s">
        <v>13</v>
      </c>
      <c r="D59" s="9">
        <v>2030</v>
      </c>
      <c r="E59" s="9">
        <v>1015</v>
      </c>
      <c r="F59" s="9">
        <v>3045</v>
      </c>
    </row>
    <row r="60" spans="3:14">
      <c r="C60" s="5" t="s">
        <v>42</v>
      </c>
      <c r="D60" s="9">
        <v>12610</v>
      </c>
      <c r="E60" s="9">
        <v>970</v>
      </c>
      <c r="F60" s="9">
        <v>13580</v>
      </c>
    </row>
    <row r="61" spans="3:14">
      <c r="C61" s="5" t="s">
        <v>26</v>
      </c>
      <c r="D61" s="9">
        <v>3940</v>
      </c>
      <c r="E61" s="9">
        <v>985</v>
      </c>
      <c r="F61" s="9">
        <v>4925</v>
      </c>
    </row>
    <row r="62" spans="3:14">
      <c r="C62" s="5" t="s">
        <v>40</v>
      </c>
      <c r="D62" s="9">
        <v>1320</v>
      </c>
      <c r="E62" s="9"/>
      <c r="F62" s="9">
        <v>1320</v>
      </c>
    </row>
    <row r="63" spans="3:14">
      <c r="C63" s="5" t="s">
        <v>7</v>
      </c>
      <c r="D63" s="9">
        <v>3550</v>
      </c>
      <c r="E63" s="9"/>
      <c r="F63" s="9">
        <v>3550</v>
      </c>
    </row>
    <row r="64" spans="3:14">
      <c r="C64" s="5" t="s">
        <v>34</v>
      </c>
      <c r="D64" s="9">
        <v>6853</v>
      </c>
      <c r="E64" s="9">
        <v>1246</v>
      </c>
      <c r="F64" s="9">
        <v>8099</v>
      </c>
    </row>
    <row r="65" spans="2:7">
      <c r="C65" s="5" t="s">
        <v>38</v>
      </c>
      <c r="D65" s="9">
        <v>2800</v>
      </c>
      <c r="E65" s="9">
        <v>1400</v>
      </c>
      <c r="F65" s="9">
        <v>4200</v>
      </c>
    </row>
    <row r="66" spans="2:7">
      <c r="C66" s="5" t="s">
        <v>24</v>
      </c>
      <c r="D66" s="9">
        <v>43100</v>
      </c>
      <c r="E66" s="9"/>
      <c r="F66" s="9">
        <v>43100</v>
      </c>
    </row>
    <row r="67" spans="2:7">
      <c r="C67" s="5" t="s">
        <v>17</v>
      </c>
      <c r="D67" s="9">
        <v>66470</v>
      </c>
      <c r="E67" s="9">
        <v>7820</v>
      </c>
      <c r="F67" s="9">
        <v>74290</v>
      </c>
    </row>
    <row r="68" spans="2:7">
      <c r="C68" s="5" t="s">
        <v>11</v>
      </c>
      <c r="D68" s="9">
        <v>24700</v>
      </c>
      <c r="E68" s="9"/>
      <c r="F68" s="9">
        <v>24700</v>
      </c>
    </row>
    <row r="69" spans="2:7">
      <c r="C69" s="5" t="s">
        <v>15</v>
      </c>
      <c r="D69" s="9">
        <v>63800</v>
      </c>
      <c r="E69" s="9"/>
      <c r="F69" s="9">
        <v>63800</v>
      </c>
    </row>
    <row r="70" spans="2:7">
      <c r="C70" s="5" t="s">
        <v>5</v>
      </c>
      <c r="D70" s="9">
        <v>31500</v>
      </c>
      <c r="E70" s="9">
        <v>6300</v>
      </c>
      <c r="F70" s="9">
        <v>37800</v>
      </c>
    </row>
    <row r="71" spans="2:7">
      <c r="C71" s="5" t="s">
        <v>36</v>
      </c>
      <c r="D71" s="9">
        <v>10395</v>
      </c>
      <c r="E71" s="9"/>
      <c r="F71" s="9">
        <v>10395</v>
      </c>
    </row>
    <row r="72" spans="2:7">
      <c r="C72" s="5" t="s">
        <v>45</v>
      </c>
      <c r="D72" s="9">
        <v>329696</v>
      </c>
      <c r="E72" s="9">
        <v>33446</v>
      </c>
      <c r="F72" s="9">
        <v>363142</v>
      </c>
    </row>
    <row r="77" spans="2:7" ht="23.4">
      <c r="B77" s="11" t="s">
        <v>58</v>
      </c>
    </row>
    <row r="79" spans="2:7">
      <c r="C79" s="10" t="s">
        <v>44</v>
      </c>
      <c r="D79" s="10" t="s">
        <v>46</v>
      </c>
      <c r="E79" s="12" t="s">
        <v>59</v>
      </c>
      <c r="F79" s="6" t="s">
        <v>60</v>
      </c>
      <c r="G79" s="10" t="s">
        <v>61</v>
      </c>
    </row>
    <row r="80" spans="2:7">
      <c r="C80" t="s">
        <v>24</v>
      </c>
      <c r="D80">
        <v>176710</v>
      </c>
      <c r="E80">
        <f>D80/SUM($D$80:$D$100)</f>
        <v>0.15340075524111291</v>
      </c>
      <c r="F80" s="13">
        <f>E80</f>
        <v>0.15340075524111291</v>
      </c>
      <c r="G80" t="str">
        <f>IF(F80&lt;=0.8,"A",IF(F80&lt;=0.95,"B","C"))</f>
        <v>A</v>
      </c>
    </row>
    <row r="81" spans="3:7">
      <c r="C81" t="s">
        <v>17</v>
      </c>
      <c r="D81">
        <v>163440</v>
      </c>
      <c r="E81">
        <f t="shared" ref="E81:E100" si="0">D81/SUM($D$80:$D$100)</f>
        <v>0.14188115803637311</v>
      </c>
      <c r="F81" s="13">
        <f>E81+F80</f>
        <v>0.29528191327748599</v>
      </c>
      <c r="G81" t="str">
        <f t="shared" ref="G81:G100" si="1">IF(F81&lt;=0.8,"A",IF(F81&lt;=0.95,"B","C"))</f>
        <v>A</v>
      </c>
    </row>
    <row r="82" spans="3:7">
      <c r="C82" t="s">
        <v>11</v>
      </c>
      <c r="D82">
        <v>143550</v>
      </c>
      <c r="E82">
        <f t="shared" si="0"/>
        <v>0.12461478362776163</v>
      </c>
      <c r="F82" s="13">
        <f t="shared" ref="F82:F100" si="2">E82+F81</f>
        <v>0.41989669690524761</v>
      </c>
      <c r="G82" t="str">
        <f t="shared" si="1"/>
        <v>A</v>
      </c>
    </row>
    <row r="83" spans="3:7">
      <c r="C83" t="s">
        <v>15</v>
      </c>
      <c r="D83">
        <v>133400</v>
      </c>
      <c r="E83">
        <f t="shared" si="0"/>
        <v>0.11580363731064716</v>
      </c>
      <c r="F83" s="13">
        <f t="shared" si="2"/>
        <v>0.5357003342158948</v>
      </c>
      <c r="G83" t="str">
        <f t="shared" si="1"/>
        <v>A</v>
      </c>
    </row>
    <row r="84" spans="3:7">
      <c r="C84" t="s">
        <v>5</v>
      </c>
      <c r="D84">
        <v>88200</v>
      </c>
      <c r="E84">
        <f t="shared" si="0"/>
        <v>7.6565823169408395E-2</v>
      </c>
      <c r="F84" s="13">
        <f t="shared" si="2"/>
        <v>0.61226615738530321</v>
      </c>
      <c r="G84" t="str">
        <f t="shared" si="1"/>
        <v>A</v>
      </c>
    </row>
    <row r="85" spans="3:7">
      <c r="C85" t="s">
        <v>30</v>
      </c>
      <c r="D85">
        <v>57500</v>
      </c>
      <c r="E85">
        <f t="shared" si="0"/>
        <v>4.9915360909761709E-2</v>
      </c>
      <c r="F85" s="13">
        <f t="shared" si="2"/>
        <v>0.66218151829506489</v>
      </c>
      <c r="G85" t="str">
        <f t="shared" si="1"/>
        <v>A</v>
      </c>
    </row>
    <row r="86" spans="3:7">
      <c r="C86" t="s">
        <v>32</v>
      </c>
      <c r="D86">
        <v>40640</v>
      </c>
      <c r="E86">
        <f t="shared" si="0"/>
        <v>3.5279308997786363E-2</v>
      </c>
      <c r="F86" s="13">
        <f t="shared" si="2"/>
        <v>0.6974608272928513</v>
      </c>
      <c r="G86" t="str">
        <f t="shared" si="1"/>
        <v>A</v>
      </c>
    </row>
    <row r="87" spans="3:7">
      <c r="C87" t="s">
        <v>36</v>
      </c>
      <c r="D87">
        <v>40600</v>
      </c>
      <c r="E87">
        <f t="shared" si="0"/>
        <v>3.5244585268457834E-2</v>
      </c>
      <c r="F87" s="13">
        <f t="shared" si="2"/>
        <v>0.73270541256130917</v>
      </c>
      <c r="G87" t="str">
        <f t="shared" si="1"/>
        <v>A</v>
      </c>
    </row>
    <row r="88" spans="3:7">
      <c r="C88" t="s">
        <v>19</v>
      </c>
      <c r="D88">
        <v>38760</v>
      </c>
      <c r="E88">
        <f t="shared" si="0"/>
        <v>3.364729371934546E-2</v>
      </c>
      <c r="F88" s="13">
        <f t="shared" si="2"/>
        <v>0.76635270628065466</v>
      </c>
      <c r="G88" t="str">
        <f t="shared" si="1"/>
        <v>A</v>
      </c>
    </row>
    <row r="89" spans="3:7">
      <c r="C89" t="s">
        <v>9</v>
      </c>
      <c r="D89">
        <v>35280</v>
      </c>
      <c r="E89">
        <f t="shared" si="0"/>
        <v>3.0626329267763357E-2</v>
      </c>
      <c r="F89" s="13">
        <f t="shared" si="2"/>
        <v>0.79697903554841798</v>
      </c>
      <c r="G89" t="str">
        <f t="shared" si="1"/>
        <v>A</v>
      </c>
    </row>
    <row r="90" spans="3:7">
      <c r="C90" t="s">
        <v>22</v>
      </c>
      <c r="D90">
        <v>30240</v>
      </c>
      <c r="E90">
        <f t="shared" si="0"/>
        <v>2.6251139372368594E-2</v>
      </c>
      <c r="F90" s="13">
        <f t="shared" si="2"/>
        <v>0.82323017492078654</v>
      </c>
      <c r="G90" t="str">
        <f t="shared" si="1"/>
        <v>B</v>
      </c>
    </row>
    <row r="91" spans="3:7">
      <c r="C91" t="s">
        <v>42</v>
      </c>
      <c r="D91">
        <v>28710</v>
      </c>
      <c r="E91">
        <f t="shared" si="0"/>
        <v>2.4922956725552323E-2</v>
      </c>
      <c r="F91" s="13">
        <f t="shared" si="2"/>
        <v>0.84815313164633888</v>
      </c>
      <c r="G91" t="str">
        <f t="shared" si="1"/>
        <v>B</v>
      </c>
    </row>
    <row r="92" spans="3:7">
      <c r="C92" t="s">
        <v>26</v>
      </c>
      <c r="D92">
        <v>27550</v>
      </c>
      <c r="E92">
        <f t="shared" si="0"/>
        <v>2.3915968575024957E-2</v>
      </c>
      <c r="F92" s="13">
        <f t="shared" si="2"/>
        <v>0.87206910022136386</v>
      </c>
      <c r="G92" t="str">
        <f t="shared" si="1"/>
        <v>B</v>
      </c>
    </row>
    <row r="93" spans="3:7">
      <c r="C93" t="s">
        <v>38</v>
      </c>
      <c r="D93">
        <v>25200</v>
      </c>
      <c r="E93">
        <f t="shared" si="0"/>
        <v>2.1875949476973827E-2</v>
      </c>
      <c r="F93" s="13">
        <f t="shared" si="2"/>
        <v>0.89394504969833766</v>
      </c>
      <c r="G93" t="str">
        <f t="shared" si="1"/>
        <v>B</v>
      </c>
    </row>
    <row r="94" spans="3:7">
      <c r="C94" t="s">
        <v>39</v>
      </c>
      <c r="D94">
        <v>24750</v>
      </c>
      <c r="E94">
        <f t="shared" si="0"/>
        <v>2.1485307522027867E-2</v>
      </c>
      <c r="F94" s="13">
        <f t="shared" si="2"/>
        <v>0.91543035722036548</v>
      </c>
      <c r="G94" t="str">
        <f t="shared" si="1"/>
        <v>B</v>
      </c>
    </row>
    <row r="95" spans="3:7">
      <c r="C95" t="s">
        <v>34</v>
      </c>
      <c r="D95">
        <v>24180</v>
      </c>
      <c r="E95">
        <f t="shared" si="0"/>
        <v>2.0990494379096315E-2</v>
      </c>
      <c r="F95" s="13">
        <f t="shared" si="2"/>
        <v>0.93642085159946176</v>
      </c>
      <c r="G95" t="str">
        <f t="shared" si="1"/>
        <v>B</v>
      </c>
    </row>
    <row r="96" spans="3:7">
      <c r="C96" t="s">
        <v>13</v>
      </c>
      <c r="D96">
        <v>21340</v>
      </c>
      <c r="E96">
        <f t="shared" si="0"/>
        <v>1.8525109596770693E-2</v>
      </c>
      <c r="F96" s="13">
        <f t="shared" si="2"/>
        <v>0.95494596119623243</v>
      </c>
      <c r="G96" t="str">
        <f t="shared" si="1"/>
        <v>C</v>
      </c>
    </row>
    <row r="97" spans="3:7">
      <c r="C97" t="s">
        <v>40</v>
      </c>
      <c r="D97">
        <v>15840</v>
      </c>
      <c r="E97">
        <f t="shared" si="0"/>
        <v>1.3750596814097835E-2</v>
      </c>
      <c r="F97" s="13">
        <f t="shared" si="2"/>
        <v>0.96869655801033028</v>
      </c>
      <c r="G97" t="str">
        <f t="shared" si="1"/>
        <v>C</v>
      </c>
    </row>
    <row r="98" spans="3:7">
      <c r="C98" t="s">
        <v>21</v>
      </c>
      <c r="D98">
        <v>15400</v>
      </c>
      <c r="E98">
        <f t="shared" si="0"/>
        <v>1.3368635791484005E-2</v>
      </c>
      <c r="F98" s="13">
        <f t="shared" si="2"/>
        <v>0.98206519380181423</v>
      </c>
      <c r="G98" t="str">
        <f t="shared" si="1"/>
        <v>C</v>
      </c>
    </row>
    <row r="99" spans="3:7">
      <c r="C99" t="s">
        <v>7</v>
      </c>
      <c r="D99">
        <v>11360</v>
      </c>
      <c r="E99">
        <f t="shared" si="0"/>
        <v>9.8615391293024879E-3</v>
      </c>
      <c r="F99" s="13">
        <f t="shared" si="2"/>
        <v>0.99192673293111677</v>
      </c>
      <c r="G99" t="str">
        <f t="shared" si="1"/>
        <v>C</v>
      </c>
    </row>
    <row r="100" spans="3:7">
      <c r="C100" t="s">
        <v>28</v>
      </c>
      <c r="D100">
        <v>9300</v>
      </c>
      <c r="E100">
        <f t="shared" si="0"/>
        <v>8.073267068883198E-3</v>
      </c>
      <c r="F100" s="13">
        <f t="shared" si="2"/>
        <v>1</v>
      </c>
      <c r="G100" t="str">
        <f t="shared" si="1"/>
        <v>C</v>
      </c>
    </row>
    <row r="101" spans="3:7">
      <c r="C101" s="10"/>
      <c r="D101" s="10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Sale</vt:lpstr>
      <vt:lpstr>Sheet2</vt:lpstr>
      <vt:lpstr>Retail Sale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dcterms:created xsi:type="dcterms:W3CDTF">2025-10-03T07:10:25Z</dcterms:created>
  <dcterms:modified xsi:type="dcterms:W3CDTF">2025-10-09T08:55:44Z</dcterms:modified>
</cp:coreProperties>
</file>