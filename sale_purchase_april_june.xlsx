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13_ncr:1_{D4FE0AD0-005A-4FC4-AE0F-F187E4EC78F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urchase" sheetId="1" r:id="rId1"/>
    <sheet name="Raw Sale" sheetId="19" r:id="rId2"/>
    <sheet name="Retail Sale" sheetId="8" r:id="rId3"/>
    <sheet name="Raw Summary" sheetId="10" r:id="rId4"/>
    <sheet name="Retail Summary" sheetId="21" r:id="rId5"/>
  </sheets>
  <definedNames>
    <definedName name="_xlnm._FilterDatabase" localSheetId="0" hidden="1">Purchase!$A$2:$F$38</definedName>
    <definedName name="ExternalData_1" localSheetId="1" hidden="1">'Raw Sale'!$A$1:$G$70</definedName>
  </definedNames>
  <calcPr calcId="191029"/>
  <pivotCaches>
    <pivotCache cacheId="0" r:id="rId6"/>
    <pivotCache cacheId="1" r:id="rId7"/>
    <pivotCache cacheId="2" r:id="rId8"/>
    <pivotCache cacheId="9" r:id="rId9"/>
    <pivotCache cacheId="1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7" i="10" l="1"/>
  <c r="K302" i="10"/>
  <c r="K308" i="10"/>
  <c r="K309" i="10"/>
  <c r="K310" i="10"/>
  <c r="K312" i="10"/>
  <c r="K313" i="10"/>
  <c r="K316" i="10"/>
  <c r="J264" i="10"/>
  <c r="I297" i="10"/>
  <c r="I298" i="10"/>
  <c r="I299" i="10"/>
  <c r="K299" i="10" s="1"/>
  <c r="I300" i="10"/>
  <c r="K300" i="10" s="1"/>
  <c r="I301" i="10"/>
  <c r="K301" i="10" s="1"/>
  <c r="I302" i="10"/>
  <c r="I303" i="10"/>
  <c r="K303" i="10" s="1"/>
  <c r="I304" i="10"/>
  <c r="K304" i="10" s="1"/>
  <c r="I305" i="10"/>
  <c r="K305" i="10" s="1"/>
  <c r="I306" i="10"/>
  <c r="K306" i="10" s="1"/>
  <c r="I307" i="10"/>
  <c r="K307" i="10" s="1"/>
  <c r="I308" i="10"/>
  <c r="I309" i="10"/>
  <c r="I310" i="10"/>
  <c r="I311" i="10"/>
  <c r="K311" i="10" s="1"/>
  <c r="I312" i="10"/>
  <c r="I313" i="10"/>
  <c r="I314" i="10"/>
  <c r="K314" i="10" s="1"/>
  <c r="I315" i="10"/>
  <c r="K315" i="10" s="1"/>
  <c r="I316" i="10"/>
  <c r="I296" i="10"/>
  <c r="K296" i="10" s="1"/>
  <c r="H297" i="10"/>
  <c r="H298" i="10"/>
  <c r="K298" i="10" s="1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H296" i="10"/>
  <c r="G296" i="10"/>
  <c r="L272" i="10"/>
  <c r="M272" i="10" s="1"/>
  <c r="L299" i="10" s="1"/>
  <c r="L273" i="10"/>
  <c r="M273" i="10" s="1"/>
  <c r="L297" i="10" s="1"/>
  <c r="L274" i="10"/>
  <c r="M274" i="10" s="1"/>
  <c r="L300" i="10" s="1"/>
  <c r="L275" i="10"/>
  <c r="M275" i="10" s="1"/>
  <c r="L304" i="10" s="1"/>
  <c r="L276" i="10"/>
  <c r="M276" i="10" s="1"/>
  <c r="L302" i="10" s="1"/>
  <c r="L277" i="10"/>
  <c r="M277" i="10" s="1"/>
  <c r="L301" i="10" s="1"/>
  <c r="L278" i="10"/>
  <c r="M278" i="10" s="1"/>
  <c r="L303" i="10" s="1"/>
  <c r="L279" i="10"/>
  <c r="M279" i="10" s="1"/>
  <c r="L312" i="10" s="1"/>
  <c r="L280" i="10"/>
  <c r="M280" i="10" s="1"/>
  <c r="L305" i="10" s="1"/>
  <c r="L281" i="10"/>
  <c r="M281" i="10" s="1"/>
  <c r="L306" i="10" s="1"/>
  <c r="L282" i="10"/>
  <c r="M282" i="10" s="1"/>
  <c r="L307" i="10" s="1"/>
  <c r="L283" i="10"/>
  <c r="M283" i="10" s="1"/>
  <c r="L309" i="10" s="1"/>
  <c r="L284" i="10"/>
  <c r="M284" i="10" s="1"/>
  <c r="L308" i="10" s="1"/>
  <c r="L285" i="10"/>
  <c r="M285" i="10" s="1"/>
  <c r="L314" i="10" s="1"/>
  <c r="L286" i="10"/>
  <c r="M286" i="10" s="1"/>
  <c r="L311" i="10" s="1"/>
  <c r="L287" i="10"/>
  <c r="M287" i="10" s="1"/>
  <c r="L313" i="10" s="1"/>
  <c r="L288" i="10"/>
  <c r="M288" i="10" s="1"/>
  <c r="L310" i="10" s="1"/>
  <c r="L289" i="10"/>
  <c r="M289" i="10" s="1"/>
  <c r="L315" i="10" s="1"/>
  <c r="L290" i="10"/>
  <c r="M290" i="10" s="1"/>
  <c r="L316" i="10" s="1"/>
  <c r="L271" i="10"/>
  <c r="M271" i="10" s="1"/>
  <c r="L298" i="10" s="1"/>
  <c r="L270" i="10"/>
  <c r="M270" i="10" s="1"/>
  <c r="L296" i="10" s="1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28" i="10"/>
  <c r="J128" i="10" s="1"/>
  <c r="K128" i="10" s="1"/>
  <c r="Y23" i="8"/>
  <c r="X23" i="8"/>
  <c r="Z22" i="8"/>
  <c r="Z21" i="8"/>
  <c r="S9" i="8" s="1"/>
  <c r="Z20" i="8"/>
  <c r="Z19" i="8"/>
  <c r="Z18" i="8"/>
  <c r="S3" i="8" s="1"/>
  <c r="Z17" i="8"/>
  <c r="Z16" i="8"/>
  <c r="Z15" i="8"/>
  <c r="S11" i="8" s="1"/>
  <c r="Z14" i="8"/>
  <c r="Z13" i="8"/>
  <c r="S4" i="8" s="1"/>
  <c r="Z12" i="8"/>
  <c r="Z11" i="8"/>
  <c r="Z10" i="8"/>
  <c r="Z9" i="8"/>
  <c r="Z8" i="8"/>
  <c r="Z7" i="8"/>
  <c r="S7" i="8" s="1"/>
  <c r="Z6" i="8"/>
  <c r="S10" i="8" s="1"/>
  <c r="Z5" i="8"/>
  <c r="Z4" i="8"/>
  <c r="S5" i="8" s="1"/>
  <c r="Z3" i="8"/>
  <c r="Z2" i="8"/>
  <c r="H25" i="10"/>
  <c r="G25" i="10"/>
  <c r="J129" i="10" l="1"/>
  <c r="S8" i="8"/>
  <c r="S6" i="8"/>
  <c r="S12" i="8"/>
  <c r="S13" i="8"/>
  <c r="M3" i="8"/>
  <c r="M4" i="8"/>
  <c r="M5" i="8"/>
  <c r="M6" i="8"/>
  <c r="M7" i="8"/>
  <c r="M8" i="8"/>
  <c r="M9" i="8"/>
  <c r="M10" i="8"/>
  <c r="M11" i="8"/>
  <c r="M12" i="8"/>
  <c r="M13" i="8"/>
  <c r="M2" i="8"/>
  <c r="J130" i="10" l="1"/>
  <c r="K129" i="10"/>
  <c r="F63" i="19"/>
  <c r="O3" i="8"/>
  <c r="O4" i="8"/>
  <c r="O5" i="8"/>
  <c r="O6" i="8"/>
  <c r="O7" i="8"/>
  <c r="O8" i="8"/>
  <c r="O9" i="8"/>
  <c r="O10" i="8"/>
  <c r="O11" i="8"/>
  <c r="O12" i="8"/>
  <c r="O13" i="8"/>
  <c r="T13" i="8" s="1"/>
  <c r="O2" i="8"/>
  <c r="F65" i="19"/>
  <c r="F66" i="19"/>
  <c r="F67" i="19"/>
  <c r="F68" i="19"/>
  <c r="F69" i="19"/>
  <c r="F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4" i="19"/>
  <c r="F70" i="19"/>
  <c r="I15" i="10"/>
  <c r="J15" i="10" s="1"/>
  <c r="C10" i="10"/>
  <c r="I4" i="10"/>
  <c r="J4" i="10" s="1"/>
  <c r="I5" i="10"/>
  <c r="J5" i="10" s="1"/>
  <c r="I6" i="10"/>
  <c r="J6" i="10" s="1"/>
  <c r="I7" i="10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6" i="10"/>
  <c r="J16" i="10" s="1"/>
  <c r="I17" i="10"/>
  <c r="J17" i="10" s="1"/>
  <c r="I18" i="10"/>
  <c r="J18" i="10" s="1"/>
  <c r="I19" i="10"/>
  <c r="J19" i="10" s="1"/>
  <c r="I20" i="10"/>
  <c r="J20" i="10" s="1"/>
  <c r="I21" i="10"/>
  <c r="J21" i="10" s="1"/>
  <c r="I22" i="10"/>
  <c r="J22" i="10" s="1"/>
  <c r="I23" i="10"/>
  <c r="J23" i="10" s="1"/>
  <c r="I24" i="10"/>
  <c r="J24" i="10" s="1"/>
  <c r="J131" i="10" l="1"/>
  <c r="K130" i="10"/>
  <c r="P10" i="8"/>
  <c r="T10" i="8"/>
  <c r="P5" i="8"/>
  <c r="T5" i="8"/>
  <c r="P12" i="8"/>
  <c r="T12" i="8"/>
  <c r="P11" i="8"/>
  <c r="T11" i="8"/>
  <c r="P9" i="8"/>
  <c r="T9" i="8"/>
  <c r="P8" i="8"/>
  <c r="T8" i="8"/>
  <c r="P7" i="8"/>
  <c r="T7" i="8"/>
  <c r="P6" i="8"/>
  <c r="T6" i="8"/>
  <c r="P4" i="8"/>
  <c r="T4" i="8"/>
  <c r="P3" i="8"/>
  <c r="T3" i="8"/>
  <c r="P2" i="8"/>
  <c r="T2" i="8"/>
  <c r="C3" i="10"/>
  <c r="F21" i="21"/>
  <c r="P13" i="8"/>
  <c r="F2" i="1"/>
  <c r="F6" i="1"/>
  <c r="F7" i="1"/>
  <c r="F4" i="1"/>
  <c r="F14" i="1"/>
  <c r="F12" i="1"/>
  <c r="F10" i="1"/>
  <c r="F15" i="1"/>
  <c r="F13" i="1"/>
  <c r="F9" i="1"/>
  <c r="F5" i="1"/>
  <c r="F3" i="1"/>
  <c r="F11" i="1"/>
  <c r="F8" i="1"/>
  <c r="F28" i="1"/>
  <c r="F17" i="1"/>
  <c r="F18" i="1"/>
  <c r="F30" i="1"/>
  <c r="F29" i="1"/>
  <c r="F37" i="1"/>
  <c r="F24" i="1"/>
  <c r="F35" i="1"/>
  <c r="F23" i="1"/>
  <c r="F34" i="1"/>
  <c r="F22" i="1"/>
  <c r="F16" i="1"/>
  <c r="F26" i="1"/>
  <c r="F36" i="1"/>
  <c r="F33" i="1"/>
  <c r="F21" i="1"/>
  <c r="F27" i="1"/>
  <c r="F32" i="1"/>
  <c r="F20" i="1"/>
  <c r="F38" i="1"/>
  <c r="F25" i="1"/>
  <c r="F31" i="1"/>
  <c r="F19" i="1"/>
  <c r="J132" i="10" l="1"/>
  <c r="K131" i="10"/>
  <c r="C4" i="10"/>
  <c r="J133" i="10" l="1"/>
  <c r="K132" i="10"/>
  <c r="J134" i="10" l="1"/>
  <c r="K133" i="10"/>
  <c r="J135" i="10" l="1"/>
  <c r="K134" i="10"/>
  <c r="J136" i="10" l="1"/>
  <c r="K135" i="10"/>
  <c r="J137" i="10" l="1"/>
  <c r="K136" i="10"/>
  <c r="J138" i="10" l="1"/>
  <c r="K137" i="10"/>
  <c r="J139" i="10" l="1"/>
  <c r="K138" i="10"/>
  <c r="J140" i="10" l="1"/>
  <c r="K139" i="10"/>
  <c r="J141" i="10" l="1"/>
  <c r="K140" i="10"/>
  <c r="J142" i="10" l="1"/>
  <c r="K141" i="10"/>
  <c r="J143" i="10" l="1"/>
  <c r="K142" i="10"/>
  <c r="J144" i="10" l="1"/>
  <c r="K143" i="10"/>
  <c r="J145" i="10" l="1"/>
  <c r="K144" i="10"/>
  <c r="J146" i="10" l="1"/>
  <c r="K145" i="10"/>
  <c r="J147" i="10" l="1"/>
  <c r="K146" i="10"/>
  <c r="J148" i="10" l="1"/>
  <c r="K148" i="10" s="1"/>
  <c r="K147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5A97B8-A26E-4183-A010-8AA9D85BFE0D}" keepAlive="1" name="Query - Sale" description="Connection to the 'Sale' query in the workbook." type="5" refreshedVersion="8" background="1" saveData="1">
    <dbPr connection="Provider=Microsoft.Mashup.OleDb.1;Data Source=$Workbook$;Location=Sale;Extended Properties=&quot;&quot;" command="SELECT * FROM [Sale]"/>
  </connection>
</connections>
</file>

<file path=xl/sharedStrings.xml><?xml version="1.0" encoding="utf-8"?>
<sst xmlns="http://schemas.openxmlformats.org/spreadsheetml/2006/main" count="976" uniqueCount="239">
  <si>
    <t>Date</t>
  </si>
  <si>
    <t>Item Code</t>
  </si>
  <si>
    <t>Item Description</t>
  </si>
  <si>
    <t>Rate</t>
  </si>
  <si>
    <t>SSF (E)</t>
  </si>
  <si>
    <t>Sofa Side Frame (E)</t>
  </si>
  <si>
    <t>DCF (C)</t>
  </si>
  <si>
    <t>Dining Chair Frame (C)</t>
  </si>
  <si>
    <t>BSF (F)</t>
  </si>
  <si>
    <t>Bed Side Frame (F)</t>
  </si>
  <si>
    <t>SSF (C)</t>
  </si>
  <si>
    <t>Sofa Side Frame (C)</t>
  </si>
  <si>
    <t>CTF (B)</t>
  </si>
  <si>
    <t>Centre Table Frame (B)</t>
  </si>
  <si>
    <t>SSF (D)</t>
  </si>
  <si>
    <t>Sofa Side Frame (D)</t>
  </si>
  <si>
    <t>SSF (B)</t>
  </si>
  <si>
    <t>Sofa Side Frame (B)</t>
  </si>
  <si>
    <t>BSF (A)</t>
  </si>
  <si>
    <t>Bed Side Frame (A)</t>
  </si>
  <si>
    <t>Chair Frame (B)</t>
  </si>
  <si>
    <t>BSF (C)</t>
  </si>
  <si>
    <t>Bed Side Frame (C)</t>
  </si>
  <si>
    <t>SSF (A)</t>
  </si>
  <si>
    <t>Sofa Side Frame (A)</t>
  </si>
  <si>
    <t>CTSF (A)</t>
  </si>
  <si>
    <t>Centre Table Side Frame (A)</t>
  </si>
  <si>
    <t>CTF (A)</t>
  </si>
  <si>
    <t>Centre Table Frame (A)</t>
  </si>
  <si>
    <t>BSF (B)</t>
  </si>
  <si>
    <t>Bed Side Frame (B)</t>
  </si>
  <si>
    <t>BSF (D)</t>
  </si>
  <si>
    <t>Bed Side Frame (D)</t>
  </si>
  <si>
    <t>DCF (D)</t>
  </si>
  <si>
    <t>Dining Chair Frame (D)</t>
  </si>
  <si>
    <t>Teak Sawn Timber</t>
  </si>
  <si>
    <t>Teak Sawn Timber Different Cut Size</t>
  </si>
  <si>
    <t>Dining Chair Frame (A)</t>
  </si>
  <si>
    <t>Chair Frame (A)</t>
  </si>
  <si>
    <t>DCF (B)</t>
  </si>
  <si>
    <t>Dining Chair Frame (B)</t>
  </si>
  <si>
    <t>CTF (C)</t>
  </si>
  <si>
    <t>Centre Table Frame (C)</t>
  </si>
  <si>
    <t>Row Labels</t>
  </si>
  <si>
    <t>Grand Total</t>
  </si>
  <si>
    <t>Sum of Total Amount</t>
  </si>
  <si>
    <t>Carpenter</t>
  </si>
  <si>
    <t>Retail</t>
  </si>
  <si>
    <t xml:space="preserve"> </t>
  </si>
  <si>
    <t>Cumulative %</t>
  </si>
  <si>
    <t>ABC Category</t>
  </si>
  <si>
    <t>Purchase Rate</t>
  </si>
  <si>
    <t>Sales Rate</t>
  </si>
  <si>
    <t>Profit</t>
  </si>
  <si>
    <t>Profit Margin %</t>
  </si>
  <si>
    <t>Qty</t>
  </si>
  <si>
    <t>Sum of Qty</t>
  </si>
  <si>
    <t>A.R. FURNITURES – SUMMARY DASHBOARD (May–Aug 2024)</t>
  </si>
  <si>
    <t>Total Sales (₹)</t>
  </si>
  <si>
    <t>Total Purchase (₹)</t>
  </si>
  <si>
    <t>Total Profit (₹)</t>
  </si>
  <si>
    <t>Highest Selling Product</t>
  </si>
  <si>
    <t>Number of Sales Transactions</t>
  </si>
  <si>
    <t>Number of Purchase Transactions</t>
  </si>
  <si>
    <t>Revenue Share by Customer Type (May–Aug 2024</t>
  </si>
  <si>
    <t xml:space="preserve">Sales Total </t>
  </si>
  <si>
    <t>Purchase Total</t>
  </si>
  <si>
    <t>DCF (A)</t>
  </si>
  <si>
    <t>Retail Date</t>
  </si>
  <si>
    <t>Retail Invoice</t>
  </si>
  <si>
    <t>Product Name</t>
  </si>
  <si>
    <t>Components Used</t>
  </si>
  <si>
    <t>Raw Material Cost (₹)</t>
  </si>
  <si>
    <t>Misc Cost (₹)</t>
  </si>
  <si>
    <t>Total Preparation Cost (₹)</t>
  </si>
  <si>
    <t>Selling Price (₹)</t>
  </si>
  <si>
    <t>Profit (₹)</t>
  </si>
  <si>
    <t>Profit Margin (%)</t>
  </si>
  <si>
    <t>Customer Type</t>
  </si>
  <si>
    <t>Remarks</t>
  </si>
  <si>
    <t>RS101</t>
  </si>
  <si>
    <t>–</t>
  </si>
  <si>
    <t>RS102</t>
  </si>
  <si>
    <t>Paired with center table</t>
  </si>
  <si>
    <t>RS103</t>
  </si>
  <si>
    <t>RS104</t>
  </si>
  <si>
    <t>RS105</t>
  </si>
  <si>
    <t>SSF (C), CTF (C)</t>
  </si>
  <si>
    <t>RS107</t>
  </si>
  <si>
    <t>Includes chair set</t>
  </si>
  <si>
    <t>RS108</t>
  </si>
  <si>
    <t>RS109</t>
  </si>
  <si>
    <t>RS110</t>
  </si>
  <si>
    <t>RS111</t>
  </si>
  <si>
    <t>RS112</t>
  </si>
  <si>
    <t>CTF (C), Chair Frame (B)</t>
  </si>
  <si>
    <t>Coustomer Type</t>
  </si>
  <si>
    <t>Not Available</t>
  </si>
  <si>
    <t>31-06-2025</t>
  </si>
  <si>
    <t>Bed - A</t>
  </si>
  <si>
    <t>Bed - C</t>
  </si>
  <si>
    <t>Bed - F</t>
  </si>
  <si>
    <t>Sofa - E</t>
  </si>
  <si>
    <t>Total Profit</t>
  </si>
  <si>
    <t>Qty Sold</t>
  </si>
  <si>
    <t>Chair ( 4 Set ) - A</t>
  </si>
  <si>
    <t>Polisher and Polishing Cost (₹)</t>
  </si>
  <si>
    <t>Carpenter Cost (₹)</t>
  </si>
  <si>
    <t xml:space="preserve">Ply Cost (50rs/ sqf ) </t>
  </si>
  <si>
    <t>Cushion Cost</t>
  </si>
  <si>
    <t>CTF (C), Chair Frame (A)</t>
  </si>
  <si>
    <t>Glass Top Cost</t>
  </si>
  <si>
    <t>Sofa - B and Centre_Table - A</t>
  </si>
  <si>
    <t>SSF (B), CTF (A)</t>
  </si>
  <si>
    <t>Sofa - C and Centre_Table - C</t>
  </si>
  <si>
    <t>SSF (A), CTF (B)</t>
  </si>
  <si>
    <t>Center_Table - C and Chair - B</t>
  </si>
  <si>
    <t>Center_Table - C and Chair - A</t>
  </si>
  <si>
    <t>Sofa - A and Centre_Table - B</t>
  </si>
  <si>
    <t>Sum of Profit (₹)</t>
  </si>
  <si>
    <t>Raw Material Profit</t>
  </si>
  <si>
    <t>Chair (6 Set) - DA</t>
  </si>
  <si>
    <t>Chair ( 6 set ) - DC</t>
  </si>
  <si>
    <t>Veneer Cost</t>
  </si>
  <si>
    <t>Profit after Raw Material Cost (As Raw Material Profit is already calcuated in Raw summary)</t>
  </si>
  <si>
    <t>Total Raw Material Profit</t>
  </si>
  <si>
    <t>Grand Total Profit of 4 months</t>
  </si>
  <si>
    <t>Monthly Sales Trend</t>
  </si>
  <si>
    <t>Apr</t>
  </si>
  <si>
    <t>May</t>
  </si>
  <si>
    <t>Jun</t>
  </si>
  <si>
    <t>Jul</t>
  </si>
  <si>
    <t>Total</t>
  </si>
  <si>
    <t>(All)</t>
  </si>
  <si>
    <t>Profit Per Product</t>
  </si>
  <si>
    <t>Profit Contribution</t>
  </si>
  <si>
    <t>Month</t>
  </si>
  <si>
    <t>Total Sales</t>
  </si>
  <si>
    <t>Net Profit</t>
  </si>
  <si>
    <t>Sum of Net Profit</t>
  </si>
  <si>
    <t>Total Purchase</t>
  </si>
  <si>
    <t>Sum of Total Sales</t>
  </si>
  <si>
    <t>Apr-2025</t>
  </si>
  <si>
    <t>May-2025</t>
  </si>
  <si>
    <t>Jun-2025</t>
  </si>
  <si>
    <t>Jul-2025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</si>
  <si>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</si>
  <si>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</si>
  <si>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</si>
  <si>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</si>
  <si>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</si>
  <si>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</si>
  <si>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</si>
  <si>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</si>
  <si>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</si>
  <si>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</si>
  <si>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</si>
  <si>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</si>
  <si>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</si>
  <si>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Column1</t>
  </si>
  <si>
    <t>Column2</t>
  </si>
  <si>
    <t>Column3</t>
  </si>
  <si>
    <t>Total Quantity Sold (4 Months)</t>
  </si>
  <si>
    <t>Sales Frequency</t>
  </si>
  <si>
    <t>Average Monthly Demand</t>
  </si>
  <si>
    <t>DSI</t>
  </si>
  <si>
    <t>Normalised Profit</t>
  </si>
  <si>
    <t>Normalised Sales Frequency</t>
  </si>
  <si>
    <t>Normalised Stability (Inverted)</t>
  </si>
  <si>
    <t>ABC Score</t>
  </si>
  <si>
    <t>ABC Class</t>
  </si>
  <si>
    <t>3-Month Moving Average</t>
  </si>
  <si>
    <t>Demand Trend Analysis</t>
  </si>
  <si>
    <t>Demand Trend Interpretation</t>
  </si>
  <si>
    <t>Baseline month (no trend computed)</t>
  </si>
  <si>
    <t>Increasing demand observed</t>
  </si>
  <si>
    <t>Strong upward trend indicating peak demand</t>
  </si>
  <si>
    <t>Slight decline, but demand remains high</t>
  </si>
  <si>
    <t>Column Labels</t>
  </si>
  <si>
    <t>Stable</t>
  </si>
  <si>
    <t>Declining</t>
  </si>
  <si>
    <t>Rising</t>
  </si>
  <si>
    <t>Recommended Action</t>
  </si>
  <si>
    <t>A</t>
  </si>
  <si>
    <t>B</t>
  </si>
  <si>
    <t>C</t>
  </si>
  <si>
    <t>FINAL INSIGHTS</t>
  </si>
  <si>
    <t>ABC Classification ( Profit-Based ) - OLD</t>
  </si>
  <si>
    <t>ABC Classification ( Profit–Frequency–Stability ) - NEW</t>
  </si>
  <si>
    <t>SMA₁</t>
  </si>
  <si>
    <t>SMA₂</t>
  </si>
  <si>
    <t>CV</t>
  </si>
  <si>
    <t>Zero Months</t>
  </si>
  <si>
    <t>Final Trend Label</t>
  </si>
  <si>
    <t>Unpredictable</t>
  </si>
  <si>
    <t>Trend</t>
  </si>
  <si>
    <t>Key Interpretation</t>
  </si>
  <si>
    <t>Consistently high profit and volume</t>
  </si>
  <si>
    <t>Maintain optimal stock; review weekly</t>
  </si>
  <si>
    <t>High profit, steady sales</t>
  </si>
  <si>
    <t>Continue stocking with stable buffer</t>
  </si>
  <si>
    <t>High value, growing demand</t>
  </si>
  <si>
    <t>Increase procurement; ensure supply continuity</t>
  </si>
  <si>
    <t>Still valuable but demand is tapering</t>
  </si>
  <si>
    <t>Lower stock slightly; monitor next month trends</t>
  </si>
  <si>
    <t>Reliable performer with strong flow</t>
  </si>
  <si>
    <t>Standard reorder cycle</t>
  </si>
  <si>
    <t>Steady sales with above-average DSI</t>
  </si>
  <si>
    <t>Maintain current order frequency</t>
  </si>
  <si>
    <t>High DSI, volatile demand</t>
  </si>
  <si>
    <t>Limit stock; monitor sales closely</t>
  </si>
  <si>
    <t>Good performer with low margin</t>
  </si>
  <si>
    <t>Retain current policy; consider price tweaks</t>
  </si>
  <si>
    <t>Stable contributor for B2C</t>
  </si>
  <si>
    <t>Maintain showroom visibility</t>
  </si>
  <si>
    <t>Low frequency and unstable</t>
  </si>
  <si>
    <t>Avoid overstock; restock only on demand</t>
  </si>
  <si>
    <t>Volatile trend, low frequency</t>
  </si>
  <si>
    <t>Reduce holding cost; trial alternate display</t>
  </si>
  <si>
    <t>Mid-tier SKU with growing demand</t>
  </si>
  <si>
    <t>Consider limited promotion</t>
  </si>
  <si>
    <t>Moderate sales and stability</t>
  </si>
  <si>
    <t>Maintain lean stock</t>
  </si>
  <si>
    <t>Reliable with mid-level performance</t>
  </si>
  <si>
    <t>Controlled restocking</t>
  </si>
  <si>
    <t>Infrequent and unstable</t>
  </si>
  <si>
    <t>Discontinue if no upcoming demand</t>
  </si>
  <si>
    <t>Low sales but consistent</t>
  </si>
  <si>
    <t>Minimal inventory; review after season</t>
  </si>
  <si>
    <t>Falling trend and low margin</t>
  </si>
  <si>
    <t>Discontinue or clear stock</t>
  </si>
  <si>
    <t>Low importance</t>
  </si>
  <si>
    <t>Stock if specifically requested</t>
  </si>
  <si>
    <t>Very poor DSI and margin</t>
  </si>
  <si>
    <t>Phase out</t>
  </si>
  <si>
    <t>No growth potential</t>
  </si>
  <si>
    <t>Retire SKU or move to clearance</t>
  </si>
  <si>
    <t>Lowest performer with erratic sales</t>
  </si>
  <si>
    <t>Immediate discontinuation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</si>
</sst>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14009]dd/mm/yyyy;@"/>
  </numFmts>
  <fonts count="1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2" fontId="0" fillId="4" borderId="0" xfId="0" applyNumberFormat="1" applyFill="1"/>
    <xf numFmtId="0" fontId="7" fillId="2" borderId="0" xfId="0" applyFont="1" applyFill="1" applyAlignment="1">
      <alignment horizontal="center"/>
    </xf>
    <xf numFmtId="0" fontId="0" fillId="5" borderId="0" xfId="0" applyFill="1"/>
    <xf numFmtId="0" fontId="7" fillId="2" borderId="0" xfId="0" applyFont="1" applyFill="1" applyAlignment="1">
      <alignment horizontal="left"/>
    </xf>
    <xf numFmtId="14" fontId="0" fillId="0" borderId="0" xfId="0" applyNumberFormat="1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10" fillId="0" borderId="0" xfId="0" pivotButton="1" applyFont="1"/>
    <xf numFmtId="0" fontId="10" fillId="0" borderId="0" xfId="0" applyFont="1"/>
    <xf numFmtId="0" fontId="10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/>
    <xf numFmtId="0" fontId="2" fillId="7" borderId="5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10" borderId="2" xfId="0" applyFill="1" applyBorder="1"/>
    <xf numFmtId="164" fontId="0" fillId="8" borderId="5" xfId="0" applyNumberFormat="1" applyFill="1" applyBorder="1" applyAlignment="1">
      <alignment horizontal="center" vertical="center" wrapText="1"/>
    </xf>
    <xf numFmtId="165" fontId="0" fillId="0" borderId="0" xfId="0" applyNumberFormat="1"/>
    <xf numFmtId="165" fontId="2" fillId="0" borderId="0" xfId="0" applyNumberFormat="1" applyFont="1"/>
    <xf numFmtId="0" fontId="0" fillId="0" borderId="6" xfId="0" applyBorder="1"/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Continuous"/>
    </xf>
    <xf numFmtId="0" fontId="0" fillId="11" borderId="0" xfId="0" applyFill="1"/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 wrapText="1"/>
    </xf>
    <xf numFmtId="0" fontId="7" fillId="1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13" borderId="1" xfId="0" applyFill="1" applyBorder="1"/>
    <xf numFmtId="0" fontId="0" fillId="12" borderId="1" xfId="0" applyFill="1" applyBorder="1"/>
    <xf numFmtId="2" fontId="0" fillId="12" borderId="1" xfId="0" applyNumberFormat="1" applyFill="1" applyBorder="1"/>
    <xf numFmtId="0" fontId="2" fillId="13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[sale_purchase_april_june.xlsx]Raw Summary!PivotTable4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Revenue Share by Customer Type (May–Aug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'Raw Summary'!$D$31</c:f>
              <c:strCache>
                <c:ptCount val="1"/>
                <c:pt idx="0">
                  <c:v>Total</c:v>
                </c:pt>
              </c:strCache>
            </c:strRef>
          </c:tx>
          <c:explosion val="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A6-4E61-AAB9-E1A72A05D5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A6-4E61-AAB9-E1A72A05D5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A6-4E61-AAB9-E1A72A05D5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Summary'!$C$32:$C$35</c:f>
              <c:strCache>
                <c:ptCount val="3"/>
                <c:pt idx="0">
                  <c:v>Carpenter</c:v>
                </c:pt>
                <c:pt idx="1">
                  <c:v>Not Available</c:v>
                </c:pt>
                <c:pt idx="2">
                  <c:v>Retail</c:v>
                </c:pt>
              </c:strCache>
            </c:strRef>
          </c:cat>
          <c:val>
            <c:numRef>
              <c:f>'Raw Summary'!$D$32:$D$35</c:f>
              <c:numCache>
                <c:formatCode>General</c:formatCode>
                <c:ptCount val="3"/>
                <c:pt idx="0">
                  <c:v>278590</c:v>
                </c:pt>
                <c:pt idx="1">
                  <c:v>39670</c:v>
                </c:pt>
                <c:pt idx="2">
                  <c:v>50892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5B-4B66-99EA-2F9B9D12AD4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Summary'!$I$127</c:f>
              <c:strCache>
                <c:ptCount val="1"/>
                <c:pt idx="0">
                  <c:v>Profit Contribution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Summary'!$I$128:$I$148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0.14271683081875972</c:v>
                </c:pt>
                <c:pt idx="2">
                  <c:v>0.13368619212615612</c:v>
                </c:pt>
                <c:pt idx="3">
                  <c:v>0.12579234078156404</c:v>
                </c:pt>
                <c:pt idx="4">
                  <c:v>7.3663820151147252E-2</c:v>
                </c:pt>
                <c:pt idx="5">
                  <c:v>7.0207986613192191E-2</c:v>
                </c:pt>
                <c:pt idx="6">
                  <c:v>4.9109213434098166E-2</c:v>
                </c:pt>
                <c:pt idx="7">
                  <c:v>4.227030074846079E-2</c:v>
                </c:pt>
                <c:pt idx="8">
                  <c:v>3.0556843914549967E-2</c:v>
                </c:pt>
                <c:pt idx="9">
                  <c:v>2.4736492692730927E-2</c:v>
                </c:pt>
                <c:pt idx="10">
                  <c:v>2.1826317081821405E-2</c:v>
                </c:pt>
                <c:pt idx="11">
                  <c:v>2.0735001227730337E-2</c:v>
                </c:pt>
                <c:pt idx="12">
                  <c:v>2.0298474886093907E-2</c:v>
                </c:pt>
                <c:pt idx="13">
                  <c:v>1.611509744541147E-2</c:v>
                </c:pt>
                <c:pt idx="14">
                  <c:v>1.5551250920797751E-2</c:v>
                </c:pt>
                <c:pt idx="15">
                  <c:v>1.473276403022945E-2</c:v>
                </c:pt>
                <c:pt idx="16">
                  <c:v>1.3459562200456535E-2</c:v>
                </c:pt>
                <c:pt idx="17">
                  <c:v>9.6035795160014179E-3</c:v>
                </c:pt>
                <c:pt idx="18">
                  <c:v>5.820351221819042E-3</c:v>
                </c:pt>
                <c:pt idx="19">
                  <c:v>3.419456342818687E-3</c:v>
                </c:pt>
                <c:pt idx="20">
                  <c:v>2.7282896352276756E-3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4-4957-A30F-8E512E05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297136"/>
        <c:axId val="2107302896"/>
      </c:barChart>
      <c:lineChart>
        <c:grouping val="standard"/>
        <c:varyColors val="0"/>
        <c:ser>
          <c:idx val="1"/>
          <c:order val="1"/>
          <c:tx>
            <c:strRef>
              <c:f>'Raw Summary'!$J$127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Summary'!$J$128:$J$148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0.30568666502969288</c:v>
                </c:pt>
                <c:pt idx="2">
                  <c:v>0.43937285715584901</c:v>
                </c:pt>
                <c:pt idx="3">
                  <c:v>0.56516519793741304</c:v>
                </c:pt>
                <c:pt idx="4">
                  <c:v>0.6388290180885603</c:v>
                </c:pt>
                <c:pt idx="5">
                  <c:v>0.70903700470175246</c:v>
                </c:pt>
                <c:pt idx="6">
                  <c:v>0.75814621813585059</c:v>
                </c:pt>
                <c:pt idx="7">
                  <c:v>0.80041651888431142</c:v>
                </c:pt>
                <c:pt idx="8">
                  <c:v>0.83097336279886136</c:v>
                </c:pt>
                <c:pt idx="9">
                  <c:v>0.85570985549159229</c:v>
                </c:pt>
                <c:pt idx="10">
                  <c:v>0.87753617257341365</c:v>
                </c:pt>
                <c:pt idx="11">
                  <c:v>0.89827117380114396</c:v>
                </c:pt>
                <c:pt idx="12">
                  <c:v>0.91856964868723789</c:v>
                </c:pt>
                <c:pt idx="13">
                  <c:v>0.9346847461326494</c:v>
                </c:pt>
                <c:pt idx="14">
                  <c:v>0.95023599705344719</c:v>
                </c:pt>
                <c:pt idx="15">
                  <c:v>0.96496876108367668</c:v>
                </c:pt>
                <c:pt idx="16">
                  <c:v>0.97842832328413321</c:v>
                </c:pt>
                <c:pt idx="17">
                  <c:v>0.98803190280013464</c:v>
                </c:pt>
                <c:pt idx="18">
                  <c:v>0.99385225402195365</c:v>
                </c:pt>
                <c:pt idx="19">
                  <c:v>0.99727171036477236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64-4957-A30F-8E512E05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077008"/>
        <c:axId val="2100076048"/>
      </c:lineChart>
      <c:catAx>
        <c:axId val="210729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302896"/>
        <c:crosses val="autoZero"/>
        <c:auto val="1"/>
        <c:lblAlgn val="ctr"/>
        <c:lblOffset val="100"/>
        <c:noMultiLvlLbl val="0"/>
      </c:catAx>
      <c:valAx>
        <c:axId val="21073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97136"/>
        <c:crosses val="autoZero"/>
        <c:crossBetween val="between"/>
      </c:valAx>
      <c:valAx>
        <c:axId val="210007604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077008"/>
        <c:crosses val="max"/>
        <c:crossBetween val="between"/>
      </c:valAx>
      <c:catAx>
        <c:axId val="2100077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007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effectLst/>
              </a:rPr>
              <a:t>Demand Stability Distribution </a:t>
            </a:r>
            <a:endParaRPr lang="en-IN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val>
            <c:numRef>
              <c:f>'Raw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'Raw Summary'!#REF!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346-4BE4-A574-5BF2DF25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7636831"/>
        <c:axId val="2087632991"/>
      </c:barChart>
      <c:catAx>
        <c:axId val="2087636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 sz="1000" b="1" i="0" u="none" strike="noStrike" baseline="0"/>
                  <a:t>DSI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7632991"/>
        <c:crosses val="autoZero"/>
        <c:auto val="1"/>
        <c:lblAlgn val="ctr"/>
        <c:lblOffset val="100"/>
        <c:noMultiLvlLbl val="0"/>
      </c:catAx>
      <c:valAx>
        <c:axId val="20876329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 sz="1000" b="1" i="0" u="none" strike="noStrike" baseline="0"/>
                  <a:t>Number of SKUs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763683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ABC Classification with Cumulative Contribution</a:t>
            </a:r>
            <a:endParaRPr lang="en-IN"/>
          </a:p>
        </c:rich>
      </c:tx>
      <c:overlay val="0"/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Summary'!$K$269</c:f>
              <c:strCache>
                <c:ptCount val="1"/>
                <c:pt idx="0">
                  <c:v>ABC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Summary'!$B$270:$B$290</c:f>
              <c:strCache>
                <c:ptCount val="21"/>
                <c:pt idx="0">
                  <c:v>SSF (A)</c:v>
                </c:pt>
                <c:pt idx="1">
                  <c:v>SSF (B)</c:v>
                </c:pt>
                <c:pt idx="2">
                  <c:v>Teak Sawn Timber</c:v>
                </c:pt>
                <c:pt idx="3">
                  <c:v>SSF (D)</c:v>
                </c:pt>
                <c:pt idx="4">
                  <c:v>DCF (D)</c:v>
                </c:pt>
                <c:pt idx="5">
                  <c:v>BSF (D)</c:v>
                </c:pt>
                <c:pt idx="6">
                  <c:v>SSF (C)</c:v>
                </c:pt>
                <c:pt idx="7">
                  <c:v>CTF (C)</c:v>
                </c:pt>
                <c:pt idx="8">
                  <c:v>Chair Frame (A)</c:v>
                </c:pt>
                <c:pt idx="9">
                  <c:v>BSF (C)</c:v>
                </c:pt>
                <c:pt idx="10">
                  <c:v>BSF (F)</c:v>
                </c:pt>
                <c:pt idx="11">
                  <c:v>DCF (A)</c:v>
                </c:pt>
                <c:pt idx="12">
                  <c:v>CTSF (A)</c:v>
                </c:pt>
                <c:pt idx="13">
                  <c:v>DCF (C)</c:v>
                </c:pt>
                <c:pt idx="14">
                  <c:v>BSF (A)</c:v>
                </c:pt>
                <c:pt idx="15">
                  <c:v>Chair Frame (B)</c:v>
                </c:pt>
                <c:pt idx="16">
                  <c:v>CTF (B)</c:v>
                </c:pt>
                <c:pt idx="17">
                  <c:v>CTF (A)</c:v>
                </c:pt>
                <c:pt idx="18">
                  <c:v>SSF (E)</c:v>
                </c:pt>
                <c:pt idx="19">
                  <c:v>DCF (B)</c:v>
                </c:pt>
                <c:pt idx="20">
                  <c:v>BSF (B)</c:v>
                </c:pt>
              </c:strCache>
            </c:strRef>
          </c:cat>
          <c:val>
            <c:numRef>
              <c:f>'Raw Summary'!$K$270:$K$290</c:f>
              <c:numCache>
                <c:formatCode>0.00</c:formatCode>
                <c:ptCount val="21"/>
                <c:pt idx="0">
                  <c:v>0.9267684145545888</c:v>
                </c:pt>
                <c:pt idx="1">
                  <c:v>0.9051476518920808</c:v>
                </c:pt>
                <c:pt idx="2">
                  <c:v>0.88905325724987772</c:v>
                </c:pt>
                <c:pt idx="3">
                  <c:v>0.87946632119544077</c:v>
                </c:pt>
                <c:pt idx="4">
                  <c:v>0.69870601589103298</c:v>
                </c:pt>
                <c:pt idx="5">
                  <c:v>0.60495373181141421</c:v>
                </c:pt>
                <c:pt idx="6">
                  <c:v>0.57886239839214682</c:v>
                </c:pt>
                <c:pt idx="7">
                  <c:v>0.57656803801461454</c:v>
                </c:pt>
                <c:pt idx="8">
                  <c:v>0.5349409148954446</c:v>
                </c:pt>
                <c:pt idx="9">
                  <c:v>0.51004045633732298</c:v>
                </c:pt>
                <c:pt idx="10">
                  <c:v>0.46410820029528865</c:v>
                </c:pt>
                <c:pt idx="11">
                  <c:v>0.4638049985982059</c:v>
                </c:pt>
                <c:pt idx="12">
                  <c:v>0.44603852919235293</c:v>
                </c:pt>
                <c:pt idx="13">
                  <c:v>0.44598794093747812</c:v>
                </c:pt>
                <c:pt idx="14">
                  <c:v>0.38565013959532513</c:v>
                </c:pt>
                <c:pt idx="15">
                  <c:v>0.38476609535739537</c:v>
                </c:pt>
                <c:pt idx="16">
                  <c:v>0.38313046309834209</c:v>
                </c:pt>
                <c:pt idx="17">
                  <c:v>0.35529982252358983</c:v>
                </c:pt>
                <c:pt idx="18">
                  <c:v>0.32338078192873454</c:v>
                </c:pt>
                <c:pt idx="19">
                  <c:v>0.30564187421244721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D-4463-9291-E98869131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130175"/>
        <c:axId val="730125855"/>
      </c:barChart>
      <c:lineChart>
        <c:grouping val="standard"/>
        <c:varyColors val="0"/>
        <c:ser>
          <c:idx val="1"/>
          <c:order val="1"/>
          <c:tx>
            <c:strRef>
              <c:f>'Raw Summary'!$L$269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Summary'!$B$270:$B$290</c:f>
              <c:strCache>
                <c:ptCount val="21"/>
                <c:pt idx="0">
                  <c:v>SSF (A)</c:v>
                </c:pt>
                <c:pt idx="1">
                  <c:v>SSF (B)</c:v>
                </c:pt>
                <c:pt idx="2">
                  <c:v>Teak Sawn Timber</c:v>
                </c:pt>
                <c:pt idx="3">
                  <c:v>SSF (D)</c:v>
                </c:pt>
                <c:pt idx="4">
                  <c:v>DCF (D)</c:v>
                </c:pt>
                <c:pt idx="5">
                  <c:v>BSF (D)</c:v>
                </c:pt>
                <c:pt idx="6">
                  <c:v>SSF (C)</c:v>
                </c:pt>
                <c:pt idx="7">
                  <c:v>CTF (C)</c:v>
                </c:pt>
                <c:pt idx="8">
                  <c:v>Chair Frame (A)</c:v>
                </c:pt>
                <c:pt idx="9">
                  <c:v>BSF (C)</c:v>
                </c:pt>
                <c:pt idx="10">
                  <c:v>BSF (F)</c:v>
                </c:pt>
                <c:pt idx="11">
                  <c:v>DCF (A)</c:v>
                </c:pt>
                <c:pt idx="12">
                  <c:v>CTSF (A)</c:v>
                </c:pt>
                <c:pt idx="13">
                  <c:v>DCF (C)</c:v>
                </c:pt>
                <c:pt idx="14">
                  <c:v>BSF (A)</c:v>
                </c:pt>
                <c:pt idx="15">
                  <c:v>Chair Frame (B)</c:v>
                </c:pt>
                <c:pt idx="16">
                  <c:v>CTF (B)</c:v>
                </c:pt>
                <c:pt idx="17">
                  <c:v>CTF (A)</c:v>
                </c:pt>
                <c:pt idx="18">
                  <c:v>SSF (E)</c:v>
                </c:pt>
                <c:pt idx="19">
                  <c:v>DCF (B)</c:v>
                </c:pt>
                <c:pt idx="20">
                  <c:v>BSF (B)</c:v>
                </c:pt>
              </c:strCache>
            </c:strRef>
          </c:cat>
          <c:val>
            <c:numRef>
              <c:f>'Raw Summary'!$L$270:$L$290</c:f>
              <c:numCache>
                <c:formatCode>0.00</c:formatCode>
                <c:ptCount val="21"/>
                <c:pt idx="0">
                  <c:v>8.3777068988365108E-2</c:v>
                </c:pt>
                <c:pt idx="1">
                  <c:v>0.16559968625318011</c:v>
                </c:pt>
                <c:pt idx="2">
                  <c:v>0.24596741879265213</c:v>
                </c:pt>
                <c:pt idx="3">
                  <c:v>0.32546852123273129</c:v>
                </c:pt>
                <c:pt idx="4">
                  <c:v>0.38862943735439409</c:v>
                </c:pt>
                <c:pt idx="5">
                  <c:v>0.44331542980817396</c:v>
                </c:pt>
                <c:pt idx="6">
                  <c:v>0.49564284442790563</c:v>
                </c:pt>
                <c:pt idx="7">
                  <c:v>0.54776285579067041</c:v>
                </c:pt>
                <c:pt idx="8">
                  <c:v>0.59611990079574173</c:v>
                </c:pt>
                <c:pt idx="9">
                  <c:v>0.64222601946182212</c:v>
                </c:pt>
                <c:pt idx="10">
                  <c:v>0.68418000074083574</c:v>
                </c:pt>
                <c:pt idx="11">
                  <c:v>0.72610657350107066</c:v>
                </c:pt>
                <c:pt idx="12">
                  <c:v>0.76642711102130534</c:v>
                </c:pt>
                <c:pt idx="13">
                  <c:v>0.80674307551590374</c:v>
                </c:pt>
                <c:pt idx="14">
                  <c:v>0.84160468478403783</c:v>
                </c:pt>
                <c:pt idx="15">
                  <c:v>0.87638637911986883</c:v>
                </c:pt>
                <c:pt idx="16">
                  <c:v>0.91102021723352566</c:v>
                </c:pt>
                <c:pt idx="17">
                  <c:v>0.94313824939306823</c:v>
                </c:pt>
                <c:pt idx="18">
                  <c:v>0.97237089656973719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5D-4463-9291-E98869131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802303"/>
        <c:axId val="575862319"/>
      </c:lineChart>
      <c:catAx>
        <c:axId val="73013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Item Code (sorted by ABC Score)</a:t>
                </a:r>
                <a:endParaRPr lang="en-IN"/>
              </a:p>
            </c:rich>
          </c:tx>
          <c:overlay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25855"/>
        <c:crosses val="autoZero"/>
        <c:auto val="1"/>
        <c:lblAlgn val="ctr"/>
        <c:lblOffset val="100"/>
        <c:noMultiLvlLbl val="0"/>
      </c:catAx>
      <c:valAx>
        <c:axId val="73012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ABC Score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4454278629064513E-2"/>
              <c:y val="0.30495971465134458"/>
            </c:manualLayout>
          </c:layout>
          <c:overlay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30175"/>
        <c:crosses val="autoZero"/>
        <c:crossBetween val="between"/>
      </c:valAx>
      <c:valAx>
        <c:axId val="5758623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Cumulative %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95208398504949576"/>
              <c:y val="0.26426750215296468"/>
            </c:manualLayout>
          </c:layout>
          <c:overlay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02303"/>
        <c:crosses val="max"/>
        <c:crossBetween val="between"/>
      </c:valAx>
      <c:catAx>
        <c:axId val="503802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8623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[sale_purchase_april_june.xlsx]Retail Summary!PivotTable10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46981627296589"/>
          <c:y val="0.22161818314377368"/>
          <c:w val="0.70925196850393701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'Retail Summary'!$C$27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'Retail Summary'!$B$28:$B$32</c:f>
              <c:strCache>
                <c:ptCount val="4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</c:strCache>
            </c:strRef>
          </c:cat>
          <c:val>
            <c:numRef>
              <c:f>'Retail Summary'!$C$28:$C$32</c:f>
              <c:numCache>
                <c:formatCode>General</c:formatCode>
                <c:ptCount val="4"/>
                <c:pt idx="0">
                  <c:v>6495</c:v>
                </c:pt>
                <c:pt idx="1">
                  <c:v>6525</c:v>
                </c:pt>
                <c:pt idx="2">
                  <c:v>7610</c:v>
                </c:pt>
                <c:pt idx="3">
                  <c:v>14380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8-428B-A9C8-2BA5DE147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369247"/>
        <c:axId val="1350367327"/>
      </c:lineChart>
      <c:catAx>
        <c:axId val="135036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7327"/>
        <c:crosses val="autoZero"/>
        <c:auto val="1"/>
        <c:lblAlgn val="ctr"/>
        <c:lblOffset val="100"/>
        <c:noMultiLvlLbl val="0"/>
      </c:catAx>
      <c:valAx>
        <c:axId val="13503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[sale_purchase_april_june.xlsx]Retail Summary!PivotTable7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 Summary'!$C$3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'Retail Summary'!$B$4:$B$16</c:f>
              <c:strCache>
                <c:ptCount val="12"/>
                <c:pt idx="0">
                  <c:v>Bed - A</c:v>
                </c:pt>
                <c:pt idx="1">
                  <c:v>Bed - C</c:v>
                </c:pt>
                <c:pt idx="2">
                  <c:v>Bed - F</c:v>
                </c:pt>
                <c:pt idx="3">
                  <c:v>Chair ( 4 Set ) - A</c:v>
                </c:pt>
                <c:pt idx="4">
                  <c:v>Sofa - E</c:v>
                </c:pt>
                <c:pt idx="5">
                  <c:v>Sofa - B and Centre_Table - A</c:v>
                </c:pt>
                <c:pt idx="6">
                  <c:v>Sofa - C and Centre_Table - C</c:v>
                </c:pt>
                <c:pt idx="7">
                  <c:v>Center_Table - C and Chair - B</c:v>
                </c:pt>
                <c:pt idx="8">
                  <c:v>Center_Table - C and Chair - A</c:v>
                </c:pt>
                <c:pt idx="9">
                  <c:v>Sofa - A and Centre_Table - B</c:v>
                </c:pt>
                <c:pt idx="10">
                  <c:v>Chair (6 Set) - DA</c:v>
                </c:pt>
                <c:pt idx="11">
                  <c:v>Chair ( 6 set ) - DC</c:v>
                </c:pt>
              </c:strCache>
            </c:strRef>
          </c:cat>
          <c:val>
            <c:numRef>
              <c:f>'Retail Summary'!$C$4:$C$16</c:f>
              <c:numCache>
                <c:formatCode>General</c:formatCode>
                <c:ptCount val="12"/>
                <c:pt idx="0">
                  <c:v>2584</c:v>
                </c:pt>
                <c:pt idx="1">
                  <c:v>2960</c:v>
                </c:pt>
                <c:pt idx="2">
                  <c:v>1930</c:v>
                </c:pt>
                <c:pt idx="3">
                  <c:v>1350</c:v>
                </c:pt>
                <c:pt idx="4">
                  <c:v>2086</c:v>
                </c:pt>
                <c:pt idx="5">
                  <c:v>2927</c:v>
                </c:pt>
                <c:pt idx="6">
                  <c:v>2882</c:v>
                </c:pt>
                <c:pt idx="7">
                  <c:v>3308</c:v>
                </c:pt>
                <c:pt idx="8">
                  <c:v>2082</c:v>
                </c:pt>
                <c:pt idx="9">
                  <c:v>4225</c:v>
                </c:pt>
                <c:pt idx="10">
                  <c:v>2505</c:v>
                </c:pt>
                <c:pt idx="11">
                  <c:v>2255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0-450C-BD12-65B0B8AD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980496"/>
        <c:axId val="1824980976"/>
      </c:barChart>
      <c:catAx>
        <c:axId val="182498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0976"/>
        <c:crosses val="autoZero"/>
        <c:auto val="1"/>
        <c:lblAlgn val="ctr"/>
        <c:lblOffset val="100"/>
        <c:noMultiLvlLbl val="0"/>
      </c:catAx>
      <c:valAx>
        <c:axId val="182498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402851</xdr:colOff>
      <xdr:row>27</xdr:row>
      <xdr:rowOff>1</xdr:rowOff>
    </xdr:from>
    <xdr:to>
      <xdr:col>9</xdr:col>
      <xdr:colOff>609599</xdr:colOff>
      <xdr:row>42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8AED6D-8F5F-FAB6-8480-8FA68B998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374835</xdr:colOff>
      <xdr:row>74</xdr:row>
      <xdr:rowOff>75080</xdr:rowOff>
    </xdr:from>
    <xdr:to>
      <xdr:col>16</xdr:col>
      <xdr:colOff>580782</xdr:colOff>
      <xdr:row>94</xdr:row>
      <xdr:rowOff>111269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CCAE69-CE9A-2A10-D1AA-5051C7054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3" y="14642727"/>
          <a:ext cx="7269815" cy="362207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99</xdr:row>
      <xdr:rowOff>0</xdr:rowOff>
    </xdr:from>
    <xdr:to>
      <xdr:col>12</xdr:col>
      <xdr:colOff>264520</xdr:colOff>
      <xdr:row>118</xdr:row>
      <xdr:rowOff>30400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CCA4FD1-0F4E-3B21-83B7-28A1E06C7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3125" y="20364450"/>
          <a:ext cx="6736664" cy="3468925"/>
        </a:xfrm>
        <a:prstGeom prst="rect">
          <a:avLst/>
        </a:prstGeom>
      </xdr:spPr>
    </xdr:pic>
    <xdr:clientData/>
  </xdr:twoCellAnchor>
  <xdr:twoCellAnchor editAs="oneCell">
    <xdr:from>
      <xdr:col>8</xdr:col>
      <xdr:colOff>451597</xdr:colOff>
      <xdr:row>49</xdr:row>
      <xdr:rowOff>50987</xdr:rowOff>
    </xdr:from>
    <xdr:to>
      <xdr:col>16</xdr:col>
      <xdr:colOff>648019</xdr:colOff>
      <xdr:row>70</xdr:row>
      <xdr:rowOff>7653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36D5381-132F-6F0D-F5F3-96345F4C8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77685" y="10136281"/>
          <a:ext cx="7260290" cy="3721843"/>
        </a:xfrm>
        <a:prstGeom prst="rect">
          <a:avLst/>
        </a:prstGeom>
      </xdr:spPr>
    </xdr:pic>
    <xdr:clientData/>
  </xdr:twoCellAnchor>
  <xdr:twoCellAnchor>
    <xdr:from>
      <xdr:col>12</xdr:col>
      <xdr:colOff>10885</xdr:colOff>
      <xdr:row>127</xdr:row>
      <xdr:rowOff>10886</xdr:rowOff>
    </xdr:from>
    <xdr:to>
      <xdr:col>21</xdr:col>
      <xdr:colOff>21772</xdr:colOff>
      <xdr:row>145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6F5F079-6104-FEC4-91EE-D5F359719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236764</xdr:colOff>
      <xdr:row>206</xdr:row>
      <xdr:rowOff>38100</xdr:rowOff>
    </xdr:from>
    <xdr:to>
      <xdr:col>17</xdr:col>
      <xdr:colOff>1031823</xdr:colOff>
      <xdr:row>228</xdr:row>
      <xdr:rowOff>172811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56338B-576E-F59E-43C1-96185FC1D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8278" y="42002529"/>
          <a:ext cx="8796059" cy="5283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315686</xdr:colOff>
      <xdr:row>6</xdr:row>
      <xdr:rowOff>366848</xdr:rowOff>
    </xdr:from>
    <xdr:to>
      <xdr:col>19</xdr:col>
      <xdr:colOff>381000</xdr:colOff>
      <xdr:row>19</xdr:row>
      <xdr:rowOff>163285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3BD1A2-C4D9-D61C-652A-E4833A546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283028</xdr:colOff>
      <xdr:row>269</xdr:row>
      <xdr:rowOff>87087</xdr:rowOff>
    </xdr:from>
    <xdr:to>
      <xdr:col>20</xdr:col>
      <xdr:colOff>315685</xdr:colOff>
      <xdr:row>288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8EFFEC-5D0C-C581-5325-561847E2F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26</xdr:row>
      <xdr:rowOff>3810</xdr:rowOff>
    </xdr:from>
    <xdr:to>
      <xdr:col>8</xdr:col>
      <xdr:colOff>182880</xdr:colOff>
      <xdr:row>37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198E1-CE57-DE15-F802-364E11ED6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453390</xdr:colOff>
      <xdr:row>1</xdr:row>
      <xdr:rowOff>133350</xdr:rowOff>
    </xdr:from>
    <xdr:to>
      <xdr:col>9</xdr:col>
      <xdr:colOff>400050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4E2B79-DF50-2AC1-A9F7-8027A706F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7.736422106478" createdVersion="8" refreshedVersion="8" minRefreshableVersion="3" recordCount="12" xr:uid="{5101774F-69BF-4D83-81A3-9593C6935E0A}">
  <cacheSource type="worksheet">
    <worksheetSource ref="A1:R13" sheet="Retail Sale"/>
  </cacheSource>
  <cacheFields count="20">
    <cacheField name="Retail Date" numFmtId="14">
      <sharedItems containsSemiMixedTypes="0" containsNonDate="0" containsDate="1" containsString="0" minDate="2025-04-05T00:00:00" maxDate="2025-07-31T00:00:00" count="12">
        <d v="2025-04-05T00:00:00"/>
        <d v="2025-04-19T00:00:00"/>
        <d v="2025-05-13T00:00:00"/>
        <d v="2025-05-27T00:00:00"/>
        <d v="2025-06-21T00:00:00"/>
        <d v="2025-06-25T00:00:00"/>
        <d v="2025-06-29T00:00:00"/>
        <d v="2025-07-02T00:00:00"/>
        <d v="2025-07-10T00:00:00"/>
        <d v="2025-07-18T00:00:00"/>
        <d v="2025-07-27T00:00:00"/>
        <d v="2025-07-30T00:00:00"/>
      </sharedItems>
      <fieldGroup par="19"/>
    </cacheField>
    <cacheField name="Retail Invoice" numFmtId="0">
      <sharedItems/>
    </cacheField>
    <cacheField name="Product Name" numFmtId="0">
      <sharedItems/>
    </cacheField>
    <cacheField name="Components Used" numFmtId="0">
      <sharedItems/>
    </cacheField>
    <cacheField name="Raw Material Cost (₹)" numFmtId="0">
      <sharedItems containsSemiMixedTypes="0" containsString="0" containsNumber="1" containsInteger="1" minValue="2923" maxValue="5390"/>
    </cacheField>
    <cacheField name="Ply Cost (50rs/ sqf ) " numFmtId="0">
      <sharedItems containsSemiMixedTypes="0" containsString="0" containsNumber="1" containsInteger="1" minValue="0" maxValue="3750"/>
    </cacheField>
    <cacheField name="Glass Top Cost" numFmtId="0">
      <sharedItems containsSemiMixedTypes="0" containsString="0" containsNumber="1" containsInteger="1" minValue="0" maxValue="2825"/>
    </cacheField>
    <cacheField name="Veneer Cost" numFmtId="0">
      <sharedItems containsString="0" containsBlank="1" containsNumber="1" containsInteger="1" minValue="0" maxValue="700"/>
    </cacheField>
    <cacheField name="Cushion Cost" numFmtId="0">
      <sharedItems containsSemiMixedTypes="0" containsString="0" containsNumber="1" containsInteger="1" minValue="0" maxValue="3500"/>
    </cacheField>
    <cacheField name="Polisher and Polishing Cost (₹)" numFmtId="0">
      <sharedItems containsSemiMixedTypes="0" containsString="0" containsNumber="1" containsInteger="1" minValue="1500" maxValue="4500"/>
    </cacheField>
    <cacheField name="Carpenter Cost (₹)" numFmtId="0">
      <sharedItems containsSemiMixedTypes="0" containsString="0" containsNumber="1" containsInteger="1" minValue="2000" maxValue="4000"/>
    </cacheField>
    <cacheField name="Misc Cost (₹)" numFmtId="0">
      <sharedItems containsSemiMixedTypes="0" containsString="0" containsNumber="1" containsInteger="1" minValue="500" maxValue="2500"/>
    </cacheField>
    <cacheField name="Total Preparation Cost (₹)" numFmtId="0">
      <sharedItems containsSemiMixedTypes="0" containsString="0" containsNumber="1" containsInteger="1" minValue="7000" maxValue="20715"/>
    </cacheField>
    <cacheField name="Selling Price (₹)" numFmtId="0">
      <sharedItems containsSemiMixedTypes="0" containsString="0" containsNumber="1" containsInteger="1" minValue="8500" maxValue="24500"/>
    </cacheField>
    <cacheField name="Profit (₹)" numFmtId="0">
      <sharedItems containsSemiMixedTypes="0" containsString="0" containsNumber="1" containsInteger="1" minValue="1500" maxValue="3925"/>
    </cacheField>
    <cacheField name="Profit Margin (%)" numFmtId="2">
      <sharedItems containsSemiMixedTypes="0" containsString="0" containsNumber="1" minValue="15.736040609137056" maxValue="23.853211009174313"/>
    </cacheField>
    <cacheField name="Customer Type" numFmtId="0">
      <sharedItems/>
    </cacheField>
    <cacheField name="Remarks" numFmtId="0">
      <sharedItems/>
    </cacheField>
    <cacheField name="Days (Retail Date)" numFmtId="0" databaseField="0">
      <fieldGroup base="0">
        <rangePr groupBy="days" startDate="2025-04-05T00:00:00" endDate="2025-07-31T00:00:00"/>
        <groupItems count="368">
          <s v="&lt;05-04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7-2025"/>
        </groupItems>
      </fieldGroup>
    </cacheField>
    <cacheField name="Months (Retail Date)" numFmtId="0" databaseField="0">
      <fieldGroup base="0">
        <rangePr groupBy="months" startDate="2025-04-05T00:00:00" endDate="2025-07-31T00:00:00"/>
        <groupItems count="14">
          <s v="&lt;05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8.794775347225" createdVersion="8" refreshedVersion="8" minRefreshableVersion="3" recordCount="12" xr:uid="{16358ED6-7B18-47F9-9D9C-46BEE77273A5}">
  <cacheSource type="worksheet">
    <worksheetSource ref="A1:T13" sheet="Retail Sale"/>
  </cacheSource>
  <cacheFields count="22">
    <cacheField name="Retail Date" numFmtId="14">
      <sharedItems containsSemiMixedTypes="0" containsNonDate="0" containsDate="1" containsString="0" minDate="2025-04-05T00:00:00" maxDate="2025-07-31T00:00:00" count="12">
        <d v="2025-04-05T00:00:00"/>
        <d v="2025-04-19T00:00:00"/>
        <d v="2025-05-13T00:00:00"/>
        <d v="2025-05-27T00:00:00"/>
        <d v="2025-06-21T00:00:00"/>
        <d v="2025-06-25T00:00:00"/>
        <d v="2025-06-29T00:00:00"/>
        <d v="2025-07-02T00:00:00"/>
        <d v="2025-07-10T00:00:00"/>
        <d v="2025-07-18T00:00:00"/>
        <d v="2025-07-27T00:00:00"/>
        <d v="2025-07-30T00:00:00"/>
      </sharedItems>
      <fieldGroup par="21"/>
    </cacheField>
    <cacheField name="Retail Invoice" numFmtId="0">
      <sharedItems/>
    </cacheField>
    <cacheField name="Product Name" numFmtId="0">
      <sharedItems count="12">
        <s v="Bed - A"/>
        <s v="Sofa - B and Centre_Table - A"/>
        <s v="Chair (6 Set) - DA"/>
        <s v="Bed - C"/>
        <s v="Sofa - C and Centre_Table - C"/>
        <s v="Chair ( 4 Set ) - A"/>
        <s v="Center_Table - C and Chair - A"/>
        <s v="Sofa - E"/>
        <s v="Bed - F"/>
        <s v="Chair ( 6 set ) - DC"/>
        <s v="Sofa - A and Centre_Table - B"/>
        <s v="Center_Table - C and Chair - B"/>
      </sharedItems>
    </cacheField>
    <cacheField name="Components Used" numFmtId="0">
      <sharedItems/>
    </cacheField>
    <cacheField name="Raw Material Cost (₹)" numFmtId="0">
      <sharedItems containsSemiMixedTypes="0" containsString="0" containsNumber="1" containsInteger="1" minValue="2923" maxValue="5390"/>
    </cacheField>
    <cacheField name="Ply Cost (50rs/ sqf ) " numFmtId="0">
      <sharedItems containsSemiMixedTypes="0" containsString="0" containsNumber="1" containsInteger="1" minValue="0" maxValue="3750"/>
    </cacheField>
    <cacheField name="Glass Top Cost" numFmtId="0">
      <sharedItems containsSemiMixedTypes="0" containsString="0" containsNumber="1" containsInteger="1" minValue="0" maxValue="2825"/>
    </cacheField>
    <cacheField name="Veneer Cost" numFmtId="0">
      <sharedItems containsString="0" containsBlank="1" containsNumber="1" containsInteger="1" minValue="0" maxValue="700"/>
    </cacheField>
    <cacheField name="Cushion Cost" numFmtId="0">
      <sharedItems containsSemiMixedTypes="0" containsString="0" containsNumber="1" containsInteger="1" minValue="0" maxValue="3500"/>
    </cacheField>
    <cacheField name="Polisher and Polishing Cost (₹)" numFmtId="0">
      <sharedItems containsSemiMixedTypes="0" containsString="0" containsNumber="1" containsInteger="1" minValue="1500" maxValue="4500"/>
    </cacheField>
    <cacheField name="Carpenter Cost (₹)" numFmtId="0">
      <sharedItems containsSemiMixedTypes="0" containsString="0" containsNumber="1" containsInteger="1" minValue="2000" maxValue="4000"/>
    </cacheField>
    <cacheField name="Misc Cost (₹)" numFmtId="0">
      <sharedItems containsSemiMixedTypes="0" containsString="0" containsNumber="1" containsInteger="1" minValue="500" maxValue="2500"/>
    </cacheField>
    <cacheField name="Total Preparation Cost (₹)" numFmtId="0">
      <sharedItems containsSemiMixedTypes="0" containsString="0" containsNumber="1" containsInteger="1" minValue="7000" maxValue="20715"/>
    </cacheField>
    <cacheField name="Selling Price (₹)" numFmtId="0">
      <sharedItems containsSemiMixedTypes="0" containsString="0" containsNumber="1" containsInteger="1" minValue="8500" maxValue="24500"/>
    </cacheField>
    <cacheField name="Profit (₹)" numFmtId="0">
      <sharedItems containsSemiMixedTypes="0" containsString="0" containsNumber="1" containsInteger="1" minValue="1500" maxValue="4885"/>
    </cacheField>
    <cacheField name="Profit Margin (%)" numFmtId="2">
      <sharedItems containsSemiMixedTypes="0" containsString="0" containsNumber="1" minValue="15.736040609137056" maxValue="26.527287537333695"/>
    </cacheField>
    <cacheField name="Customer Type" numFmtId="0">
      <sharedItems/>
    </cacheField>
    <cacheField name="Remarks" numFmtId="0">
      <sharedItems/>
    </cacheField>
    <cacheField name="Raw Material Profit" numFmtId="0">
      <sharedItems containsSemiMixedTypes="0" containsString="0" containsNumber="1" containsInteger="1" minValue="85" maxValue="965"/>
    </cacheField>
    <cacheField name="Net Profit" numFmtId="0">
      <sharedItems containsSemiMixedTypes="0" containsString="0" containsNumber="1" containsInteger="1" minValue="1350" maxValue="4225"/>
    </cacheField>
    <cacheField name="Days (Retail Date)" numFmtId="0" databaseField="0">
      <fieldGroup base="0">
        <rangePr groupBy="days" startDate="2025-04-05T00:00:00" endDate="2025-07-31T00:00:00"/>
        <groupItems count="368">
          <s v="&lt;05-04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7-2025"/>
        </groupItems>
      </fieldGroup>
    </cacheField>
    <cacheField name="Months (Retail Date)" numFmtId="0" databaseField="0">
      <fieldGroup base="0">
        <rangePr groupBy="months" startDate="2025-04-05T00:00:00" endDate="2025-07-31T00:00:00"/>
        <groupItems count="14">
          <s v="&lt;05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8.97062847222" createdVersion="8" refreshedVersion="8" minRefreshableVersion="3" recordCount="37" xr:uid="{A4DE49E9-2BF3-437A-82A6-B2D7E54335A5}">
  <cacheSource type="worksheet">
    <worksheetSource ref="A1:F38" sheet="Purchase"/>
  </cacheSource>
  <cacheFields count="6">
    <cacheField name="Date" numFmtId="14">
      <sharedItems containsDate="1" containsMixedTypes="1" minDate="2025-04-04T00:00:00" maxDate="2025-08-01T00:00:00" count="11">
        <d v="2025-04-04T00:00:00"/>
        <d v="2025-04-17T00:00:00"/>
        <d v="2025-04-30T00:00:00"/>
        <d v="2025-05-09T00:00:00"/>
        <d v="2025-05-17T00:00:00"/>
        <d v="2025-05-27T00:00:00"/>
        <d v="2025-06-10T00:00:00"/>
        <d v="2025-06-28T00:00:00"/>
        <s v="31-06-2025"/>
        <d v="2025-07-31T00:00:00"/>
        <d v="2025-07-27T00:00:00"/>
      </sharedItems>
    </cacheField>
    <cacheField name="Item Code" numFmtId="0">
      <sharedItems containsBlank="1" count="22">
        <s v="BSF (A)"/>
        <s v="Chair Frame (B)"/>
        <s v="SSF (B)"/>
        <s v="CTSF (A)"/>
        <s v="Chair Frame (A)"/>
        <s v="CTF (C)"/>
        <s v="SSF (A)"/>
        <s v="Teak Sawn Timber"/>
        <s v="SSF (D)"/>
        <s v="CTF (A)"/>
        <s v="BSF (B)"/>
        <s v="BSF (F)"/>
        <s v="BSF (D)"/>
        <s v="DCF (D)"/>
        <s v="SSF (C)"/>
        <s v="BSF (C)"/>
        <s v="CTF (B)"/>
        <s v="DCF (B)"/>
        <m u="1"/>
        <s v="DCF (C)" u="1"/>
        <s v="SSF (E)" u="1"/>
        <s v="Dining Chair Frame (A)" u="1"/>
      </sharedItems>
    </cacheField>
    <cacheField name="Item Description" numFmtId="0">
      <sharedItems/>
    </cacheField>
    <cacheField name="Qty" numFmtId="0">
      <sharedItems containsSemiMixedTypes="0" containsString="0" containsNumber="1" minValue="2" maxValue="25.1"/>
    </cacheField>
    <cacheField name="Rate" numFmtId="0">
      <sharedItems containsSemiMixedTypes="0" containsString="0" containsNumber="1" containsInteger="1" minValue="540" maxValue="4330"/>
    </cacheField>
    <cacheField name="Total Amount" numFmtId="0">
      <sharedItems containsSemiMixedTypes="0" containsString="0" containsNumber="1" minValue="1780" maxValue="263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hadi micro" refreshedDate="46078.378112384256" createdVersion="8" refreshedVersion="8" minRefreshableVersion="3" recordCount="69" xr:uid="{FEA21BFB-2C10-4C77-8219-CDEFB4C6876E}">
  <cacheSource type="worksheet">
    <worksheetSource ref="A1:J70" sheet="Raw Sale"/>
  </cacheSource>
  <cacheFields count="10">
    <cacheField name="Date" numFmtId="14">
      <sharedItems containsSemiMixedTypes="0" containsNonDate="0" containsDate="1" containsString="0" minDate="2025-04-02T00:00:00" maxDate="2025-07-30T00:00:00"/>
    </cacheField>
    <cacheField name="Item Code" numFmtId="0">
      <sharedItems count="21">
        <s v="CTSF (A)"/>
        <s v="DCF (B)"/>
        <s v="BSF (B)"/>
        <s v="BSF (A)"/>
        <s v="SSF (C)"/>
        <s v="DCF (A)"/>
        <s v="DCF (C)"/>
        <s v="SSF (D)"/>
        <s v="SSF (E)"/>
        <s v="DCF (D)"/>
        <s v="CTF (C)"/>
        <s v="SSF (B)"/>
        <s v="BSF (D)"/>
        <s v="CTF (A)"/>
        <s v="Teak Sawn Timber"/>
        <s v="Chair Frame (B)"/>
        <s v="SSF (A)"/>
        <s v="Chair Frame (A)"/>
        <s v="BSF (F)"/>
        <s v="CTF (B)"/>
        <s v="BSF (C)"/>
      </sharedItems>
    </cacheField>
    <cacheField name="Item Description" numFmtId="0">
      <sharedItems/>
    </cacheField>
    <cacheField name="Qty" numFmtId="0">
      <sharedItems containsSemiMixedTypes="0" containsString="0" containsNumber="1" minValue="1" maxValue="12.55"/>
    </cacheField>
    <cacheField name="Rate" numFmtId="0">
      <sharedItems containsSemiMixedTypes="0" containsString="0" containsNumber="1" containsInteger="1" minValue="623" maxValue="5450"/>
    </cacheField>
    <cacheField name="Total Sales" numFmtId="0">
      <sharedItems containsSemiMixedTypes="0" containsString="0" containsNumber="1" containsInteger="1" minValue="750" maxValue="18000"/>
    </cacheField>
    <cacheField name="Coustomer Type" numFmtId="0">
      <sharedItems/>
    </cacheField>
    <cacheField name="Profit Per Product" numFmtId="0">
      <sharedItems containsSemiMixedTypes="0" containsString="0" containsNumber="1" containsInteger="1" minValue="47" maxValue="1120"/>
    </cacheField>
    <cacheField name="Total Profit" numFmtId="0">
      <sharedItems containsSemiMixedTypes="0" containsString="0" containsNumber="1" minValue="47" maxValue="3360"/>
    </cacheField>
    <cacheField name="Month" numFmtId="165">
      <sharedItems count="4">
        <s v="Apr-2025"/>
        <s v="May-2025"/>
        <s v="Jun-2025"/>
        <s v="Jul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hadi micro" refreshedDate="46078.378112615741" createdVersion="8" refreshedVersion="8" minRefreshableVersion="3" recordCount="69" xr:uid="{5763844D-E55A-4F2A-867A-CE9F9FEA50FF}">
  <cacheSource type="worksheet">
    <worksheetSource name="Sale"/>
  </cacheSource>
  <cacheFields count="10">
    <cacheField name="Date" numFmtId="14">
      <sharedItems containsSemiMixedTypes="0" containsNonDate="0" containsDate="1" containsString="0" minDate="2025-04-02T00:00:00" maxDate="2025-07-30T00:00:00" count="42">
        <d v="2025-04-02T00:00:00"/>
        <d v="2025-04-03T00:00:00"/>
        <d v="2025-04-05T00:00:00"/>
        <d v="2025-04-08T00:00:00"/>
        <d v="2025-04-10T00:00:00"/>
        <d v="2025-04-18T00:00:00"/>
        <d v="2025-04-20T00:00:00"/>
        <d v="2025-04-23T00:00:00"/>
        <d v="2025-04-25T00:00:00"/>
        <d v="2025-04-30T00:00:00"/>
        <d v="2025-05-05T00:00:00"/>
        <d v="2025-05-09T00:00:00"/>
        <d v="2025-05-12T00:00:00"/>
        <d v="2025-05-13T00:00:00"/>
        <d v="2025-05-18T00:00:00"/>
        <d v="2025-05-23T00:00:00"/>
        <d v="2025-05-25T00:00:00"/>
        <d v="2025-05-26T00:00:00"/>
        <d v="2025-05-27T00:00:00"/>
        <d v="2025-05-30T00:00:00"/>
        <d v="2025-06-04T00:00:00"/>
        <d v="2025-06-08T00:00:00"/>
        <d v="2025-06-09T00:00:00"/>
        <d v="2025-06-10T00:00:00"/>
        <d v="2025-06-11T00:00:00"/>
        <d v="2025-06-12T00:00:00"/>
        <d v="2025-06-15T00:00:00"/>
        <d v="2025-06-16T00:00:00"/>
        <d v="2025-06-20T00:00:00"/>
        <d v="2025-06-27T00:00:00"/>
        <d v="2025-06-30T00:00:00"/>
        <d v="2025-07-03T00:00:00"/>
        <d v="2025-07-05T00:00:00"/>
        <d v="2025-07-07T00:00:00"/>
        <d v="2025-07-08T00:00:00"/>
        <d v="2025-07-09T00:00:00"/>
        <d v="2025-07-11T00:00:00"/>
        <d v="2025-07-12T00:00:00"/>
        <d v="2025-07-17T00:00:00"/>
        <d v="2025-07-20T00:00:00"/>
        <d v="2025-07-25T00:00:00"/>
        <d v="2025-07-29T00:00:00"/>
      </sharedItems>
      <fieldGroup par="9"/>
    </cacheField>
    <cacheField name="Item Code" numFmtId="0">
      <sharedItems/>
    </cacheField>
    <cacheField name="Item Description" numFmtId="0">
      <sharedItems/>
    </cacheField>
    <cacheField name="Qty" numFmtId="0">
      <sharedItems containsSemiMixedTypes="0" containsString="0" containsNumber="1" minValue="1" maxValue="12.55"/>
    </cacheField>
    <cacheField name="Rate" numFmtId="0">
      <sharedItems containsSemiMixedTypes="0" containsString="0" containsNumber="1" containsInteger="1" minValue="623" maxValue="5450"/>
    </cacheField>
    <cacheField name="Total Sales" numFmtId="0">
      <sharedItems containsSemiMixedTypes="0" containsString="0" containsNumber="1" containsInteger="1" minValue="750" maxValue="18000"/>
    </cacheField>
    <cacheField name="Coustomer Type" numFmtId="0">
      <sharedItems count="3">
        <s v="Not Available"/>
        <s v="Carpenter"/>
        <s v="Retail"/>
      </sharedItems>
    </cacheField>
    <cacheField name="Profit Per Product" numFmtId="0">
      <sharedItems containsSemiMixedTypes="0" containsString="0" containsNumber="1" containsInteger="1" minValue="47" maxValue="1120"/>
    </cacheField>
    <cacheField name="Total Profit" numFmtId="0">
      <sharedItems containsSemiMixedTypes="0" containsString="0" containsNumber="1" minValue="47" maxValue="3360"/>
    </cacheField>
    <cacheField name="Date2" numFmtId="0" databaseField="0">
      <fieldGroup base="0">
        <discretePr count="42">
          <x v="0"/>
          <x v="0"/>
          <x v="0"/>
          <x v="0"/>
          <x v="0"/>
          <x v="0"/>
          <x v="0"/>
          <x v="0"/>
          <x v="0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2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3">
          <s v="Group1"/>
          <d v="2025-04-30T00:00:00"/>
          <d v="2025-06-30T00:00: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RS101"/>
    <s v="Bed - A"/>
    <s v="BSF (A)"/>
    <n v="2923"/>
    <n v="3250"/>
    <n v="0"/>
    <n v="700"/>
    <n v="0"/>
    <n v="3500"/>
    <n v="2700"/>
    <n v="1000"/>
    <n v="14073"/>
    <n v="17100"/>
    <n v="3027"/>
    <n v="21.509273076103177"/>
    <s v="Retail"/>
    <s v="–"/>
  </r>
  <r>
    <x v="1"/>
    <s v="RS102"/>
    <s v="Sofa - B and Centre_Table - A"/>
    <s v="SSF (B), CTF (A)"/>
    <n v="3975"/>
    <n v="0"/>
    <n v="2657"/>
    <m/>
    <n v="3200"/>
    <n v="4500"/>
    <n v="3200"/>
    <n v="2500"/>
    <n v="20032"/>
    <n v="23500"/>
    <n v="3468"/>
    <n v="17.31230031948882"/>
    <s v="Retail"/>
    <s v="Paired with center table"/>
  </r>
  <r>
    <x v="2"/>
    <s v="RS103"/>
    <s v="Chair (6 Set) - DA"/>
    <s v="DCF (A)"/>
    <n v="4200"/>
    <n v="0"/>
    <n v="0"/>
    <n v="0"/>
    <n v="0"/>
    <n v="3000"/>
    <n v="2500"/>
    <n v="1200"/>
    <n v="10900"/>
    <n v="13500"/>
    <n v="2600"/>
    <n v="23.853211009174313"/>
    <s v="Retail"/>
    <s v="–"/>
  </r>
  <r>
    <x v="3"/>
    <s v="RS104"/>
    <s v="Bed - C"/>
    <s v="BSF (C)"/>
    <n v="4525"/>
    <n v="3750"/>
    <n v="0"/>
    <n v="700"/>
    <n v="0"/>
    <n v="4000"/>
    <n v="3500"/>
    <n v="1500"/>
    <n v="17975"/>
    <n v="21900"/>
    <n v="3925"/>
    <n v="21.835883171070932"/>
    <s v="Retail"/>
    <s v="–"/>
  </r>
  <r>
    <x v="4"/>
    <s v="RS105"/>
    <s v="Sofa - C and Centre_Table - C"/>
    <s v="SSF (C), CTF (C)"/>
    <n v="5390"/>
    <n v="0"/>
    <n v="2825"/>
    <n v="0"/>
    <n v="3500"/>
    <n v="3500"/>
    <n v="4000"/>
    <n v="1500"/>
    <n v="20715"/>
    <n v="24500"/>
    <n v="3785"/>
    <n v="18.271783731595463"/>
    <s v="Retail"/>
    <s v="Paired with center table"/>
  </r>
  <r>
    <x v="5"/>
    <s v="RS105"/>
    <s v="Chair ( 4 Set ) - A"/>
    <s v="Chair Frame (A)"/>
    <n v="3000"/>
    <n v="0"/>
    <n v="0"/>
    <n v="0"/>
    <n v="0"/>
    <n v="1500"/>
    <n v="2000"/>
    <n v="500"/>
    <n v="7000"/>
    <n v="8500"/>
    <n v="1500"/>
    <n v="21.428571428571427"/>
    <s v="Retail"/>
    <s v="–"/>
  </r>
  <r>
    <x v="6"/>
    <s v="RS107"/>
    <s v="Center_Table - C and Chair - A"/>
    <s v="CTF (C), Chair Frame (A)"/>
    <n v="4650"/>
    <n v="0"/>
    <n v="2825"/>
    <n v="0"/>
    <n v="0"/>
    <n v="3500"/>
    <n v="2800"/>
    <n v="1000"/>
    <n v="14775"/>
    <n v="17100"/>
    <n v="2325"/>
    <n v="15.736040609137056"/>
    <s v="Retail"/>
    <s v="Includes chair set"/>
  </r>
  <r>
    <x v="7"/>
    <s v="RS108"/>
    <s v="Sofa - E"/>
    <s v="SSF (E)"/>
    <n v="2950"/>
    <n v="0"/>
    <n v="0"/>
    <m/>
    <n v="3500"/>
    <n v="2200"/>
    <n v="2500"/>
    <n v="1000"/>
    <n v="12150"/>
    <n v="14500"/>
    <n v="2350"/>
    <n v="19.34156378600823"/>
    <s v="Retail"/>
    <s v="–"/>
  </r>
  <r>
    <x v="8"/>
    <s v="RS109"/>
    <s v="Bed - F"/>
    <s v="BSF (F)"/>
    <n v="3120"/>
    <n v="3250"/>
    <n v="0"/>
    <n v="700"/>
    <n v="0"/>
    <n v="3000"/>
    <n v="2500"/>
    <n v="1000"/>
    <n v="13570"/>
    <n v="15900"/>
    <n v="2330"/>
    <n v="17.170228445099482"/>
    <s v="Retail"/>
    <s v="–"/>
  </r>
  <r>
    <x v="9"/>
    <s v="RS110"/>
    <s v="Chair ( 6 set ) - DC"/>
    <s v="DCF (C)"/>
    <n v="4260"/>
    <n v="0"/>
    <n v="0"/>
    <n v="0"/>
    <n v="0"/>
    <n v="3500"/>
    <n v="2500"/>
    <n v="500"/>
    <n v="10760"/>
    <n v="13100"/>
    <n v="2340"/>
    <n v="21.74721189591078"/>
    <s v="Retail"/>
    <s v="–"/>
  </r>
  <r>
    <x v="10"/>
    <s v="RS111"/>
    <s v="Sofa - A and Centre_Table - B"/>
    <s v="SSF (A), CTF (B)"/>
    <n v="4615"/>
    <n v="0"/>
    <n v="2500"/>
    <n v="0"/>
    <n v="2800"/>
    <n v="4000"/>
    <n v="3500"/>
    <n v="1000"/>
    <n v="18415"/>
    <n v="22300"/>
    <n v="3885"/>
    <n v="21.096931849036114"/>
    <s v="Retail"/>
    <s v="Paired with center table"/>
  </r>
  <r>
    <x v="11"/>
    <s v="RS112"/>
    <s v="Center_Table - C and Chair - B"/>
    <s v="CTF (C), Chair Frame (B)"/>
    <n v="5200"/>
    <n v="0"/>
    <n v="2825"/>
    <n v="0"/>
    <n v="0"/>
    <n v="4200"/>
    <n v="3500"/>
    <n v="1000"/>
    <n v="16725"/>
    <n v="20200"/>
    <n v="3475"/>
    <n v="20.777279521674142"/>
    <s v="Retail"/>
    <s v="Includes chair s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RS101"/>
    <x v="0"/>
    <s v="BSF (A)"/>
    <n v="2923"/>
    <n v="3250"/>
    <n v="0"/>
    <n v="700"/>
    <n v="0"/>
    <n v="3500"/>
    <n v="2700"/>
    <n v="1000"/>
    <n v="14073"/>
    <n v="17100"/>
    <n v="3027"/>
    <n v="21.509273076103177"/>
    <s v="Retail"/>
    <s v="–"/>
    <n v="443"/>
    <n v="2584"/>
  </r>
  <r>
    <x v="1"/>
    <s v="RS102"/>
    <x v="1"/>
    <s v="SSF (B), CTF (A)"/>
    <n v="3975"/>
    <n v="0"/>
    <n v="2657"/>
    <m/>
    <n v="3200"/>
    <n v="4500"/>
    <n v="3200"/>
    <n v="2500"/>
    <n v="20032"/>
    <n v="23500"/>
    <n v="3468"/>
    <n v="17.31230031948882"/>
    <s v="Retail"/>
    <s v="Paired with center table"/>
    <n v="541"/>
    <n v="2927"/>
  </r>
  <r>
    <x v="2"/>
    <s v="RS103"/>
    <x v="2"/>
    <s v="DCF (A)"/>
    <n v="4200"/>
    <n v="0"/>
    <n v="0"/>
    <n v="0"/>
    <n v="0"/>
    <n v="3000"/>
    <n v="2500"/>
    <n v="1200"/>
    <n v="10900"/>
    <n v="13500"/>
    <n v="2600"/>
    <n v="23.853211009174313"/>
    <s v="Retail"/>
    <s v="–"/>
    <n v="95"/>
    <n v="2505"/>
  </r>
  <r>
    <x v="3"/>
    <s v="RS104"/>
    <x v="3"/>
    <s v="BSF (C)"/>
    <n v="4525"/>
    <n v="3750"/>
    <n v="0"/>
    <n v="700"/>
    <n v="0"/>
    <n v="4000"/>
    <n v="3500"/>
    <n v="1500"/>
    <n v="17975"/>
    <n v="21900"/>
    <n v="3925"/>
    <n v="21.835883171070932"/>
    <s v="Retail"/>
    <s v="–"/>
    <n v="965"/>
    <n v="2960"/>
  </r>
  <r>
    <x v="4"/>
    <s v="RS105"/>
    <x v="4"/>
    <s v="SSF (C), CTF (C)"/>
    <n v="5390"/>
    <n v="0"/>
    <n v="2825"/>
    <n v="0"/>
    <n v="3500"/>
    <n v="3500"/>
    <n v="4000"/>
    <n v="1500"/>
    <n v="20715"/>
    <n v="24500"/>
    <n v="3785"/>
    <n v="18.271783731595463"/>
    <s v="Retail"/>
    <s v="Paired with center table"/>
    <n v="903"/>
    <n v="2882"/>
  </r>
  <r>
    <x v="5"/>
    <s v="RS105"/>
    <x v="5"/>
    <s v="Chair Frame (A)"/>
    <n v="3000"/>
    <n v="0"/>
    <n v="0"/>
    <n v="0"/>
    <n v="0"/>
    <n v="1500"/>
    <n v="2000"/>
    <n v="500"/>
    <n v="7000"/>
    <n v="8500"/>
    <n v="1500"/>
    <n v="21.428571428571427"/>
    <s v="Retail"/>
    <s v="–"/>
    <n v="150"/>
    <n v="1350"/>
  </r>
  <r>
    <x v="6"/>
    <s v="RS107"/>
    <x v="6"/>
    <s v="CTF (C), Chair Frame (A)"/>
    <n v="4650"/>
    <n v="0"/>
    <n v="2825"/>
    <n v="0"/>
    <n v="0"/>
    <n v="3500"/>
    <n v="2800"/>
    <n v="1000"/>
    <n v="14775"/>
    <n v="17100"/>
    <n v="2325"/>
    <n v="15.736040609137056"/>
    <s v="Retail"/>
    <s v="Includes chair set"/>
    <n v="243"/>
    <n v="2082"/>
  </r>
  <r>
    <x v="7"/>
    <s v="RS108"/>
    <x v="7"/>
    <s v="SSF (E)"/>
    <n v="2950"/>
    <n v="0"/>
    <n v="0"/>
    <m/>
    <n v="3500"/>
    <n v="2200"/>
    <n v="2500"/>
    <n v="1000"/>
    <n v="12150"/>
    <n v="14500"/>
    <n v="2350"/>
    <n v="19.34156378600823"/>
    <s v="Retail"/>
    <s v="–"/>
    <n v="264"/>
    <n v="2086"/>
  </r>
  <r>
    <x v="8"/>
    <s v="RS109"/>
    <x v="8"/>
    <s v="BSF (F)"/>
    <n v="3120"/>
    <n v="3250"/>
    <n v="0"/>
    <n v="700"/>
    <n v="0"/>
    <n v="3000"/>
    <n v="2500"/>
    <n v="1000"/>
    <n v="13570"/>
    <n v="15900"/>
    <n v="2330"/>
    <n v="17.170228445099482"/>
    <s v="Retail"/>
    <s v="–"/>
    <n v="400"/>
    <n v="1930"/>
  </r>
  <r>
    <x v="9"/>
    <s v="RS110"/>
    <x v="9"/>
    <s v="DCF (C)"/>
    <n v="4260"/>
    <n v="0"/>
    <n v="0"/>
    <n v="0"/>
    <n v="0"/>
    <n v="3500"/>
    <n v="2500"/>
    <n v="500"/>
    <n v="10760"/>
    <n v="13100"/>
    <n v="2340"/>
    <n v="21.74721189591078"/>
    <s v="Retail"/>
    <s v="–"/>
    <n v="85"/>
    <n v="2255"/>
  </r>
  <r>
    <x v="10"/>
    <s v="RS111"/>
    <x v="10"/>
    <s v="SSF (A), CTF (B)"/>
    <n v="4615"/>
    <n v="0"/>
    <n v="2500"/>
    <n v="0"/>
    <n v="2800"/>
    <n v="4000"/>
    <n v="3500"/>
    <n v="1000"/>
    <n v="18415"/>
    <n v="23300"/>
    <n v="4885"/>
    <n v="26.527287537333695"/>
    <s v="Retail"/>
    <s v="Paired with center table"/>
    <n v="660"/>
    <n v="4225"/>
  </r>
  <r>
    <x v="11"/>
    <s v="RS112"/>
    <x v="11"/>
    <s v="CTF (C), Chair Frame (B)"/>
    <n v="5200"/>
    <n v="0"/>
    <n v="2825"/>
    <n v="0"/>
    <n v="0"/>
    <n v="4200"/>
    <n v="3500"/>
    <n v="1000"/>
    <n v="16725"/>
    <n v="20200"/>
    <n v="3475"/>
    <n v="20.777279521674142"/>
    <s v="Retail"/>
    <s v="Includes chair set"/>
    <n v="167"/>
    <n v="330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s v="Bed Side Frame (A)"/>
    <n v="2"/>
    <n v="2480"/>
    <n v="4960"/>
  </r>
  <r>
    <x v="0"/>
    <x v="1"/>
    <s v="Chair Frame (B)"/>
    <n v="12"/>
    <n v="651"/>
    <n v="7812"/>
  </r>
  <r>
    <x v="0"/>
    <x v="2"/>
    <s v="Sofa Side Frame (B)"/>
    <n v="4"/>
    <n v="2731"/>
    <n v="10924"/>
  </r>
  <r>
    <x v="1"/>
    <x v="3"/>
    <s v="Centre Table Side Frame (A)"/>
    <n v="5"/>
    <n v="890"/>
    <n v="4450"/>
  </r>
  <r>
    <x v="1"/>
    <x v="4"/>
    <s v="Chair Frame (A)"/>
    <n v="12"/>
    <n v="651"/>
    <n v="7812"/>
  </r>
  <r>
    <x v="1"/>
    <x v="5"/>
    <s v="Centre Table Frame (C)"/>
    <n v="5"/>
    <n v="757"/>
    <n v="3785"/>
  </r>
  <r>
    <x v="2"/>
    <x v="6"/>
    <s v="Sofa Side Frame (A)"/>
    <n v="7"/>
    <n v="3075"/>
    <n v="21525"/>
  </r>
  <r>
    <x v="2"/>
    <x v="5"/>
    <s v="Centre Table Frame (C)"/>
    <n v="3"/>
    <n v="757"/>
    <n v="2271"/>
  </r>
  <r>
    <x v="2"/>
    <x v="7"/>
    <s v="Teak Sawn Timber Different Cut Size"/>
    <n v="25.1"/>
    <n v="1050"/>
    <n v="26355"/>
  </r>
  <r>
    <x v="3"/>
    <x v="2"/>
    <s v="Sofa Side Frame (B)"/>
    <n v="2"/>
    <n v="2731"/>
    <n v="5462"/>
  </r>
  <r>
    <x v="3"/>
    <x v="8"/>
    <s v="Sofa Side Frame (D)"/>
    <n v="5"/>
    <n v="4330"/>
    <n v="21650"/>
  </r>
  <r>
    <x v="3"/>
    <x v="9"/>
    <s v="Centre Table Frame (A)"/>
    <n v="3"/>
    <n v="703"/>
    <n v="2109"/>
  </r>
  <r>
    <x v="3"/>
    <x v="10"/>
    <s v="Bed Side Frame (B)"/>
    <n v="2"/>
    <n v="1275"/>
    <n v="2550"/>
  </r>
  <r>
    <x v="4"/>
    <x v="5"/>
    <s v="Centre Table Frame (C)"/>
    <n v="8"/>
    <n v="757"/>
    <n v="6056"/>
  </r>
  <r>
    <x v="4"/>
    <x v="2"/>
    <s v="Sofa Side Frame (B)"/>
    <n v="6"/>
    <n v="2731"/>
    <n v="16386"/>
  </r>
  <r>
    <x v="4"/>
    <x v="10"/>
    <s v="Bed Side Frame (B)"/>
    <n v="2"/>
    <n v="1275"/>
    <n v="2550"/>
  </r>
  <r>
    <x v="5"/>
    <x v="9"/>
    <s v="Centre Table Frame (A)"/>
    <n v="4"/>
    <n v="703"/>
    <n v="2812"/>
  </r>
  <r>
    <x v="5"/>
    <x v="11"/>
    <s v="Bed Side Frame (F)"/>
    <n v="3"/>
    <n v="2720"/>
    <n v="8160"/>
  </r>
  <r>
    <x v="5"/>
    <x v="8"/>
    <s v="Sofa Side Frame (D)"/>
    <n v="5"/>
    <n v="4330"/>
    <n v="21650"/>
  </r>
  <r>
    <x v="5"/>
    <x v="4"/>
    <s v="Chair Frame (A)"/>
    <n v="12"/>
    <n v="800"/>
    <n v="9600"/>
  </r>
  <r>
    <x v="6"/>
    <x v="2"/>
    <s v="Sofa Side Frame (B)"/>
    <n v="3"/>
    <n v="2731"/>
    <n v="8193"/>
  </r>
  <r>
    <x v="6"/>
    <x v="12"/>
    <s v="Bed Side Frame (D)"/>
    <n v="4"/>
    <n v="1410"/>
    <n v="5640"/>
  </r>
  <r>
    <x v="6"/>
    <x v="13"/>
    <s v="Dining Chair Frame (D)"/>
    <n v="6"/>
    <n v="540"/>
    <n v="3240"/>
  </r>
  <r>
    <x v="6"/>
    <x v="3"/>
    <s v="Centre Table Side Frame (A)"/>
    <n v="2"/>
    <n v="890"/>
    <n v="1780"/>
  </r>
  <r>
    <x v="7"/>
    <x v="4"/>
    <s v="Chair Frame (A)"/>
    <n v="12"/>
    <n v="800"/>
    <n v="9600"/>
  </r>
  <r>
    <x v="7"/>
    <x v="14"/>
    <s v="Sofa Side Frame (C)"/>
    <n v="4"/>
    <n v="3730"/>
    <n v="14920"/>
  </r>
  <r>
    <x v="7"/>
    <x v="13"/>
    <s v="Dining Chair Frame (D)"/>
    <n v="6"/>
    <n v="540"/>
    <n v="3240"/>
  </r>
  <r>
    <x v="8"/>
    <x v="15"/>
    <s v="Bed Side Frame (C)"/>
    <n v="4"/>
    <n v="3560"/>
    <n v="14240"/>
  </r>
  <r>
    <x v="8"/>
    <x v="8"/>
    <s v="Sofa Side Frame (D)"/>
    <n v="3"/>
    <n v="4330"/>
    <n v="12990"/>
  </r>
  <r>
    <x v="8"/>
    <x v="16"/>
    <s v="Centre Table Frame (B)"/>
    <n v="3"/>
    <n v="880"/>
    <n v="2640"/>
  </r>
  <r>
    <x v="8"/>
    <x v="11"/>
    <s v="Bed Side Frame (F)"/>
    <n v="5"/>
    <n v="2720"/>
    <n v="13600"/>
  </r>
  <r>
    <x v="9"/>
    <x v="0"/>
    <s v="Bed Side Frame (A)"/>
    <n v="2"/>
    <n v="2480"/>
    <n v="4960"/>
  </r>
  <r>
    <x v="10"/>
    <x v="17"/>
    <s v="Dining Chair Frame (B)"/>
    <n v="6"/>
    <n v="580"/>
    <n v="3480"/>
  </r>
  <r>
    <x v="10"/>
    <x v="15"/>
    <s v="Bed Side Frame (C)"/>
    <n v="5"/>
    <n v="3560"/>
    <n v="17800"/>
  </r>
  <r>
    <x v="10"/>
    <x v="16"/>
    <s v="Centre Table Frame (B)"/>
    <n v="5"/>
    <n v="880"/>
    <n v="4400"/>
  </r>
  <r>
    <x v="10"/>
    <x v="6"/>
    <s v="Sofa Side Frame (A)"/>
    <n v="2"/>
    <n v="3075"/>
    <n v="6150"/>
  </r>
  <r>
    <x v="10"/>
    <x v="7"/>
    <s v="Teak Sawn Timber Different Cut Size"/>
    <n v="12.55"/>
    <n v="1050"/>
    <n v="13177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d v="2025-04-02T00:00:00"/>
    <x v="0"/>
    <s v="Centre Table Side Frame (A)"/>
    <n v="6"/>
    <n v="985"/>
    <n v="5910"/>
    <s v="Not Available"/>
    <n v="95"/>
    <n v="570"/>
    <x v="0"/>
  </r>
  <r>
    <d v="2025-04-03T00:00:00"/>
    <x v="1"/>
    <s v="Dining Chair Frame (B)"/>
    <n v="4"/>
    <n v="660"/>
    <n v="2640"/>
    <s v="Carpenter"/>
    <n v="80"/>
    <n v="320"/>
    <x v="0"/>
  </r>
  <r>
    <d v="2025-04-03T00:00:00"/>
    <x v="2"/>
    <s v="Bed Side Frame (B)"/>
    <n v="1"/>
    <n v="1425"/>
    <n v="1425"/>
    <s v="Carpenter"/>
    <n v="150"/>
    <n v="150"/>
    <x v="0"/>
  </r>
  <r>
    <d v="2025-04-05T00:00:00"/>
    <x v="3"/>
    <s v="Bed Side Frame (A)"/>
    <n v="1"/>
    <n v="2923"/>
    <n v="2923"/>
    <s v="Carpenter"/>
    <n v="443"/>
    <n v="443"/>
    <x v="0"/>
  </r>
  <r>
    <d v="2025-04-08T00:00:00"/>
    <x v="4"/>
    <s v="Sofa Side Frame (C)"/>
    <n v="2"/>
    <n v="4540"/>
    <n v="9080"/>
    <s v="Carpenter"/>
    <n v="810"/>
    <n v="1620"/>
    <x v="0"/>
  </r>
  <r>
    <d v="2025-04-10T00:00:00"/>
    <x v="5"/>
    <s v="Dining Chair Frame (A)"/>
    <n v="4"/>
    <n v="700"/>
    <n v="2800"/>
    <s v="Retail"/>
    <n v="95"/>
    <n v="380"/>
    <x v="0"/>
  </r>
  <r>
    <d v="2025-04-18T00:00:00"/>
    <x v="6"/>
    <s v="Dining Chair Frame (C)"/>
    <n v="4"/>
    <n v="710"/>
    <n v="2840"/>
    <s v="Carpenter"/>
    <n v="85"/>
    <n v="340"/>
    <x v="0"/>
  </r>
  <r>
    <d v="2025-04-20T00:00:00"/>
    <x v="7"/>
    <s v="Sofa Side Frame (D)"/>
    <n v="3"/>
    <n v="5450"/>
    <n v="16350"/>
    <s v="Carpenter"/>
    <n v="1120"/>
    <n v="3360"/>
    <x v="0"/>
  </r>
  <r>
    <d v="2025-04-23T00:00:00"/>
    <x v="8"/>
    <s v="Sofa Side Frame (E)"/>
    <n v="1"/>
    <n v="2950"/>
    <n v="2950"/>
    <s v="Not Available"/>
    <n v="264"/>
    <n v="264"/>
    <x v="0"/>
  </r>
  <r>
    <d v="2025-04-23T00:00:00"/>
    <x v="9"/>
    <s v="Dining Chair Frame (D)"/>
    <n v="6"/>
    <n v="623"/>
    <n v="3738"/>
    <s v="Not Available"/>
    <n v="83"/>
    <n v="498"/>
    <x v="0"/>
  </r>
  <r>
    <d v="2025-04-25T00:00:00"/>
    <x v="10"/>
    <s v="Centre Table Frame (C)"/>
    <n v="2"/>
    <n v="850"/>
    <n v="1700"/>
    <s v="Not Available"/>
    <n v="93"/>
    <n v="186"/>
    <x v="0"/>
  </r>
  <r>
    <d v="2025-04-30T00:00:00"/>
    <x v="11"/>
    <s v="Sofa Side Frame (B)"/>
    <n v="1"/>
    <n v="3225"/>
    <n v="3225"/>
    <s v="Retail"/>
    <n v="494"/>
    <n v="494"/>
    <x v="0"/>
  </r>
  <r>
    <d v="2025-05-05T00:00:00"/>
    <x v="5"/>
    <s v="Dining Chair Frame (A)"/>
    <n v="4"/>
    <n v="700"/>
    <n v="2800"/>
    <s v="Carpenter"/>
    <n v="95"/>
    <n v="380"/>
    <x v="1"/>
  </r>
  <r>
    <d v="2025-05-09T00:00:00"/>
    <x v="9"/>
    <s v="Dining Chair Frame (D)"/>
    <n v="6"/>
    <n v="623"/>
    <n v="3738"/>
    <s v="Carpenter"/>
    <n v="83"/>
    <n v="498"/>
    <x v="1"/>
  </r>
  <r>
    <d v="2025-05-12T00:00:00"/>
    <x v="12"/>
    <s v="Bed Side Frame (D)"/>
    <n v="1"/>
    <n v="1650"/>
    <n v="1650"/>
    <s v="Carpenter"/>
    <n v="240"/>
    <n v="240"/>
    <x v="1"/>
  </r>
  <r>
    <d v="2025-05-12T00:00:00"/>
    <x v="9"/>
    <s v="Dining Chair Frame (D)"/>
    <n v="4"/>
    <n v="623"/>
    <n v="2492"/>
    <s v="Carpenter"/>
    <n v="83"/>
    <n v="332"/>
    <x v="1"/>
  </r>
  <r>
    <d v="2025-05-13T00:00:00"/>
    <x v="13"/>
    <s v="Centre Table Frame (A)"/>
    <n v="3"/>
    <n v="750"/>
    <n v="2250"/>
    <s v="Retail"/>
    <n v="47"/>
    <n v="141"/>
    <x v="1"/>
  </r>
  <r>
    <d v="2025-05-13T00:00:00"/>
    <x v="14"/>
    <s v="Teak Sawn Timber Different Cut Size"/>
    <n v="12.55"/>
    <n v="1200"/>
    <n v="15060"/>
    <s v="Carpenter"/>
    <n v="150"/>
    <n v="1882.5"/>
    <x v="1"/>
  </r>
  <r>
    <d v="2025-05-18T00:00:00"/>
    <x v="10"/>
    <s v="Centre Table Frame (C)"/>
    <n v="4"/>
    <n v="850"/>
    <n v="3400"/>
    <s v="Carpenter"/>
    <n v="93"/>
    <n v="372"/>
    <x v="1"/>
  </r>
  <r>
    <d v="2025-05-18T00:00:00"/>
    <x v="5"/>
    <s v="Dining Chair Frame (A)"/>
    <n v="4"/>
    <n v="700"/>
    <n v="2800"/>
    <s v="Retail"/>
    <n v="95"/>
    <n v="380"/>
    <x v="1"/>
  </r>
  <r>
    <d v="2025-05-23T00:00:00"/>
    <x v="15"/>
    <s v="Chair Frame (B)"/>
    <n v="6"/>
    <n v="725"/>
    <n v="4350"/>
    <s v="Carpenter"/>
    <n v="74"/>
    <n v="444"/>
    <x v="1"/>
  </r>
  <r>
    <d v="2025-05-23T00:00:00"/>
    <x v="16"/>
    <s v="Sofa Side Frame (A)"/>
    <n v="3"/>
    <n v="3600"/>
    <n v="10800"/>
    <s v="Carpenter"/>
    <n v="525"/>
    <n v="1575"/>
    <x v="1"/>
  </r>
  <r>
    <d v="2025-05-25T00:00:00"/>
    <x v="15"/>
    <s v="Chair Frame (B)"/>
    <n v="4"/>
    <n v="725"/>
    <n v="2900"/>
    <s v="Not Available"/>
    <n v="74"/>
    <n v="296"/>
    <x v="1"/>
  </r>
  <r>
    <d v="2025-05-25T00:00:00"/>
    <x v="11"/>
    <s v="Sofa Side Frame (B)"/>
    <n v="3"/>
    <n v="3225"/>
    <n v="9675"/>
    <s v="Carpenter"/>
    <n v="494"/>
    <n v="1482"/>
    <x v="1"/>
  </r>
  <r>
    <d v="2025-05-26T00:00:00"/>
    <x v="9"/>
    <s v="Dining Chair Frame (D)"/>
    <n v="4"/>
    <n v="623"/>
    <n v="2492"/>
    <s v="Retail"/>
    <n v="83"/>
    <n v="332"/>
    <x v="1"/>
  </r>
  <r>
    <d v="2025-05-27T00:00:00"/>
    <x v="11"/>
    <s v="Sofa Side Frame (B)"/>
    <n v="1"/>
    <n v="3225"/>
    <n v="3225"/>
    <s v="Retail"/>
    <n v="494"/>
    <n v="494"/>
    <x v="1"/>
  </r>
  <r>
    <d v="2025-05-27T00:00:00"/>
    <x v="8"/>
    <s v="Sofa Side Frame (E)"/>
    <n v="1"/>
    <n v="2950"/>
    <n v="2950"/>
    <s v="Retail"/>
    <n v="264"/>
    <n v="264"/>
    <x v="1"/>
  </r>
  <r>
    <d v="2025-05-30T00:00:00"/>
    <x v="14"/>
    <s v="Teak Sawn Timber Different Cut Size"/>
    <n v="7.33"/>
    <n v="1200"/>
    <n v="8796"/>
    <s v="Carpenter"/>
    <n v="150"/>
    <n v="1099.5"/>
    <x v="1"/>
  </r>
  <r>
    <d v="2025-05-30T00:00:00"/>
    <x v="16"/>
    <s v="Sofa Side Frame (A)"/>
    <n v="2"/>
    <n v="3600"/>
    <n v="7200"/>
    <s v="Carpenter"/>
    <n v="525"/>
    <n v="1050"/>
    <x v="1"/>
  </r>
  <r>
    <d v="2025-06-04T00:00:00"/>
    <x v="11"/>
    <s v="Sofa Side Frame (B)"/>
    <n v="3"/>
    <n v="3225"/>
    <n v="9675"/>
    <s v="Carpenter"/>
    <n v="494"/>
    <n v="1482"/>
    <x v="2"/>
  </r>
  <r>
    <d v="2025-06-08T00:00:00"/>
    <x v="3"/>
    <s v="Bed Side Frame (A)"/>
    <n v="1"/>
    <n v="2923"/>
    <n v="2923"/>
    <s v="Carpenter"/>
    <n v="443"/>
    <n v="443"/>
    <x v="2"/>
  </r>
  <r>
    <d v="2025-06-09T00:00:00"/>
    <x v="14"/>
    <s v="Teak Sawn Timber Different Cut Size"/>
    <n v="7.33"/>
    <n v="1200"/>
    <n v="8796"/>
    <s v="Carpenter"/>
    <n v="150"/>
    <n v="1099.5"/>
    <x v="2"/>
  </r>
  <r>
    <d v="2025-06-09T00:00:00"/>
    <x v="16"/>
    <s v="Sofa Side Frame (A)"/>
    <n v="2"/>
    <n v="3600"/>
    <n v="7200"/>
    <s v="Carpenter"/>
    <n v="525"/>
    <n v="1050"/>
    <x v="2"/>
  </r>
  <r>
    <d v="2025-06-09T00:00:00"/>
    <x v="12"/>
    <s v="Bed Side Frame (D)"/>
    <n v="2"/>
    <n v="1650"/>
    <n v="3300"/>
    <s v="Carpenter"/>
    <n v="240"/>
    <n v="480"/>
    <x v="2"/>
  </r>
  <r>
    <d v="2025-06-09T00:00:00"/>
    <x v="10"/>
    <s v="Centre Table Frame (C)"/>
    <n v="2"/>
    <n v="850"/>
    <n v="1700"/>
    <s v="Retail"/>
    <n v="93"/>
    <n v="186"/>
    <x v="2"/>
  </r>
  <r>
    <d v="2025-06-09T00:00:00"/>
    <x v="17"/>
    <s v="Chair Frame (A)"/>
    <n v="6"/>
    <n v="950"/>
    <n v="5700"/>
    <s v="Carpenter"/>
    <n v="150"/>
    <n v="900"/>
    <x v="2"/>
  </r>
  <r>
    <d v="2025-06-10T00:00:00"/>
    <x v="12"/>
    <s v="Bed Side Frame (D)"/>
    <n v="1"/>
    <n v="1650"/>
    <n v="1650"/>
    <s v="Carpenter"/>
    <n v="240"/>
    <n v="240"/>
    <x v="2"/>
  </r>
  <r>
    <d v="2025-06-10T00:00:00"/>
    <x v="18"/>
    <s v="Bed Side Frame (F)"/>
    <n v="1"/>
    <n v="3120"/>
    <n v="3120"/>
    <s v="Carpenter"/>
    <n v="400"/>
    <n v="400"/>
    <x v="2"/>
  </r>
  <r>
    <d v="2025-06-11T00:00:00"/>
    <x v="7"/>
    <s v="Sofa Side Frame (D)"/>
    <n v="2"/>
    <n v="5450"/>
    <n v="10900"/>
    <s v="Not Available"/>
    <n v="1120"/>
    <n v="2240"/>
    <x v="2"/>
  </r>
  <r>
    <d v="2025-06-11T00:00:00"/>
    <x v="11"/>
    <s v="Sofa Side Frame (B)"/>
    <n v="3"/>
    <n v="3225"/>
    <n v="9675"/>
    <s v="Carpenter"/>
    <n v="494"/>
    <n v="1482"/>
    <x v="2"/>
  </r>
  <r>
    <d v="2025-06-12T00:00:00"/>
    <x v="12"/>
    <s v="Bed Side Frame (D)"/>
    <n v="2"/>
    <n v="1650"/>
    <n v="3300"/>
    <s v="Carpenter"/>
    <n v="240"/>
    <n v="480"/>
    <x v="2"/>
  </r>
  <r>
    <d v="2025-06-15T00:00:00"/>
    <x v="17"/>
    <s v="Chair Frame (A)"/>
    <n v="6"/>
    <n v="950"/>
    <n v="5700"/>
    <s v="Carpenter"/>
    <n v="150"/>
    <n v="900"/>
    <x v="2"/>
  </r>
  <r>
    <d v="2025-06-16T00:00:00"/>
    <x v="16"/>
    <s v="Sofa Side Frame (A)"/>
    <n v="1"/>
    <n v="3600"/>
    <n v="3600"/>
    <s v="Carpenter"/>
    <n v="525"/>
    <n v="525"/>
    <x v="2"/>
  </r>
  <r>
    <d v="2025-06-16T00:00:00"/>
    <x v="14"/>
    <s v="Teak Sawn Timber Different Cut Size"/>
    <n v="12.55"/>
    <n v="1200"/>
    <n v="15060"/>
    <s v="Carpenter"/>
    <n v="150"/>
    <n v="1882.5"/>
    <x v="2"/>
  </r>
  <r>
    <d v="2025-06-16T00:00:00"/>
    <x v="19"/>
    <s v="Centre Table Frame (B)"/>
    <n v="4"/>
    <n v="1015"/>
    <n v="4060"/>
    <s v="Retail"/>
    <n v="135"/>
    <n v="540"/>
    <x v="2"/>
  </r>
  <r>
    <d v="2025-06-16T00:00:00"/>
    <x v="12"/>
    <s v="Bed Side Frame (D)"/>
    <n v="1"/>
    <n v="1650"/>
    <n v="1650"/>
    <s v="Retail"/>
    <n v="240"/>
    <n v="240"/>
    <x v="2"/>
  </r>
  <r>
    <d v="2025-06-20T00:00:00"/>
    <x v="14"/>
    <s v="Teak Sawn Timber Different Cut Size"/>
    <n v="12.55"/>
    <n v="1200"/>
    <n v="15060"/>
    <s v="Carpenter"/>
    <n v="150"/>
    <n v="1882.5"/>
    <x v="2"/>
  </r>
  <r>
    <d v="2025-06-20T00:00:00"/>
    <x v="13"/>
    <s v="Centre Table Frame (A)"/>
    <n v="1"/>
    <n v="750"/>
    <n v="750"/>
    <s v="Carpenter"/>
    <n v="47"/>
    <n v="47"/>
    <x v="2"/>
  </r>
  <r>
    <d v="2025-06-20T00:00:00"/>
    <x v="16"/>
    <s v="Sofa Side Frame (A)"/>
    <n v="1"/>
    <n v="3600"/>
    <n v="3600"/>
    <s v="Carpenter"/>
    <n v="525"/>
    <n v="525"/>
    <x v="2"/>
  </r>
  <r>
    <d v="2025-06-20T00:00:00"/>
    <x v="18"/>
    <s v="Bed Side Frame (F)"/>
    <n v="1"/>
    <n v="3120"/>
    <n v="3120"/>
    <s v="Retail"/>
    <n v="400"/>
    <n v="400"/>
    <x v="2"/>
  </r>
  <r>
    <d v="2025-06-27T00:00:00"/>
    <x v="11"/>
    <s v="Sofa Side Frame (B)"/>
    <n v="3"/>
    <n v="3225"/>
    <n v="9675"/>
    <s v="Carpenter"/>
    <n v="494"/>
    <n v="1482"/>
    <x v="2"/>
  </r>
  <r>
    <d v="2025-06-27T00:00:00"/>
    <x v="10"/>
    <s v="Centre Table Frame (C)"/>
    <n v="3"/>
    <n v="850"/>
    <n v="2550"/>
    <s v="Carpenter"/>
    <n v="93"/>
    <n v="279"/>
    <x v="2"/>
  </r>
  <r>
    <d v="2025-06-30T00:00:00"/>
    <x v="7"/>
    <s v="Sofa Side Frame (D)"/>
    <n v="1"/>
    <n v="5450"/>
    <n v="5450"/>
    <s v="Carpenter"/>
    <n v="1120"/>
    <n v="1120"/>
    <x v="2"/>
  </r>
  <r>
    <d v="2025-07-03T00:00:00"/>
    <x v="10"/>
    <s v="Centre Table Frame (C)"/>
    <n v="1"/>
    <n v="850"/>
    <n v="850"/>
    <s v="Carpenter"/>
    <n v="93"/>
    <n v="93"/>
    <x v="3"/>
  </r>
  <r>
    <d v="2025-07-05T00:00:00"/>
    <x v="17"/>
    <s v="Chair Frame (A)"/>
    <n v="6"/>
    <n v="950"/>
    <n v="5700"/>
    <s v="Retail"/>
    <n v="150"/>
    <n v="900"/>
    <x v="3"/>
  </r>
  <r>
    <d v="2025-07-07T00:00:00"/>
    <x v="16"/>
    <s v="Sofa Side Frame (A)"/>
    <n v="5"/>
    <n v="3600"/>
    <n v="18000"/>
    <s v="Carpenter"/>
    <n v="525"/>
    <n v="2625"/>
    <x v="3"/>
  </r>
  <r>
    <d v="2025-07-07T00:00:00"/>
    <x v="0"/>
    <s v="Centre Table Side Frame (A)"/>
    <n v="2"/>
    <n v="985"/>
    <n v="1970"/>
    <s v="Carpenter"/>
    <n v="95"/>
    <n v="190"/>
    <x v="3"/>
  </r>
  <r>
    <d v="2025-07-08T00:00:00"/>
    <x v="4"/>
    <s v="Sofa Side Frame (C)"/>
    <n v="2"/>
    <n v="4540"/>
    <n v="9080"/>
    <s v="Not Available"/>
    <n v="810"/>
    <n v="1620"/>
    <x v="3"/>
  </r>
  <r>
    <d v="2025-07-09T00:00:00"/>
    <x v="7"/>
    <s v="Sofa Side Frame (D)"/>
    <n v="2"/>
    <n v="5450"/>
    <n v="10900"/>
    <s v="Carpenter"/>
    <n v="1120"/>
    <n v="2240"/>
    <x v="3"/>
  </r>
  <r>
    <d v="2025-07-11T00:00:00"/>
    <x v="0"/>
    <s v="Centre Table Side Frame (A)"/>
    <n v="1"/>
    <n v="985"/>
    <n v="985"/>
    <s v="Retail"/>
    <n v="95"/>
    <n v="95"/>
    <x v="3"/>
  </r>
  <r>
    <d v="2025-07-12T00:00:00"/>
    <x v="4"/>
    <s v="Sofa Side Frame (C)"/>
    <n v="1"/>
    <n v="4540"/>
    <n v="4540"/>
    <s v="Carpenter"/>
    <n v="810"/>
    <n v="810"/>
    <x v="3"/>
  </r>
  <r>
    <d v="2025-07-12T00:00:00"/>
    <x v="6"/>
    <s v="Dining Chair Frame (C)"/>
    <n v="6"/>
    <n v="710"/>
    <n v="4260"/>
    <s v="Retail"/>
    <n v="85"/>
    <n v="510"/>
    <x v="3"/>
  </r>
  <r>
    <d v="2025-07-12T00:00:00"/>
    <x v="20"/>
    <s v="Bed Side Frame (C)"/>
    <n v="1"/>
    <n v="4525"/>
    <n v="4525"/>
    <s v="Retail"/>
    <n v="965"/>
    <n v="965"/>
    <x v="3"/>
  </r>
  <r>
    <d v="2025-07-17T00:00:00"/>
    <x v="20"/>
    <s v="Bed Side Frame (C)"/>
    <n v="3"/>
    <n v="4525"/>
    <n v="13575"/>
    <s v="Carpenter"/>
    <n v="965"/>
    <n v="2895"/>
    <x v="3"/>
  </r>
  <r>
    <d v="2025-07-17T00:00:00"/>
    <x v="9"/>
    <s v="Dining Chair Frame (D)"/>
    <n v="4"/>
    <n v="623"/>
    <n v="2492"/>
    <s v="Not Available"/>
    <n v="83"/>
    <n v="332"/>
    <x v="3"/>
  </r>
  <r>
    <d v="2025-07-20T00:00:00"/>
    <x v="18"/>
    <s v="Bed Side Frame (F)"/>
    <n v="1"/>
    <n v="3120"/>
    <n v="3120"/>
    <s v="Retail"/>
    <n v="400"/>
    <n v="400"/>
    <x v="3"/>
  </r>
  <r>
    <d v="2025-07-20T00:00:00"/>
    <x v="19"/>
    <s v="Centre Table Frame (B)"/>
    <n v="2"/>
    <n v="1015"/>
    <n v="2030"/>
    <s v="Retail"/>
    <n v="135"/>
    <n v="270"/>
    <x v="3"/>
  </r>
  <r>
    <d v="2025-07-25T00:00:00"/>
    <x v="6"/>
    <s v="Dining Chair Frame (C)"/>
    <n v="6"/>
    <n v="710"/>
    <n v="4260"/>
    <s v="Carpenter"/>
    <n v="85"/>
    <n v="510"/>
    <x v="3"/>
  </r>
  <r>
    <d v="2025-07-29T00:00:00"/>
    <x v="9"/>
    <s v="Dining Chair Frame (D)"/>
    <n v="4"/>
    <n v="623"/>
    <n v="2492"/>
    <s v="Carpenter"/>
    <n v="83"/>
    <n v="332"/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s v="CTSF (A)"/>
    <s v="Centre Table Side Frame (A)"/>
    <n v="6"/>
    <n v="985"/>
    <n v="5910"/>
    <x v="0"/>
    <n v="95"/>
    <n v="570"/>
  </r>
  <r>
    <x v="1"/>
    <s v="DCF (B)"/>
    <s v="Dining Chair Frame (B)"/>
    <n v="4"/>
    <n v="660"/>
    <n v="2640"/>
    <x v="1"/>
    <n v="80"/>
    <n v="320"/>
  </r>
  <r>
    <x v="1"/>
    <s v="BSF (B)"/>
    <s v="Bed Side Frame (B)"/>
    <n v="1"/>
    <n v="1425"/>
    <n v="1425"/>
    <x v="1"/>
    <n v="150"/>
    <n v="150"/>
  </r>
  <r>
    <x v="2"/>
    <s v="BSF (A)"/>
    <s v="Bed Side Frame (A)"/>
    <n v="1"/>
    <n v="2923"/>
    <n v="2923"/>
    <x v="1"/>
    <n v="443"/>
    <n v="443"/>
  </r>
  <r>
    <x v="3"/>
    <s v="SSF (C)"/>
    <s v="Sofa Side Frame (C)"/>
    <n v="2"/>
    <n v="4540"/>
    <n v="9080"/>
    <x v="1"/>
    <n v="810"/>
    <n v="1620"/>
  </r>
  <r>
    <x v="4"/>
    <s v="DCF (A)"/>
    <s v="Dining Chair Frame (A)"/>
    <n v="4"/>
    <n v="700"/>
    <n v="2800"/>
    <x v="2"/>
    <n v="95"/>
    <n v="380"/>
  </r>
  <r>
    <x v="5"/>
    <s v="DCF (C)"/>
    <s v="Dining Chair Frame (C)"/>
    <n v="4"/>
    <n v="710"/>
    <n v="2840"/>
    <x v="1"/>
    <n v="85"/>
    <n v="340"/>
  </r>
  <r>
    <x v="6"/>
    <s v="SSF (D)"/>
    <s v="Sofa Side Frame (D)"/>
    <n v="3"/>
    <n v="5450"/>
    <n v="16350"/>
    <x v="1"/>
    <n v="1120"/>
    <n v="3360"/>
  </r>
  <r>
    <x v="7"/>
    <s v="SSF (E)"/>
    <s v="Sofa Side Frame (E)"/>
    <n v="1"/>
    <n v="2950"/>
    <n v="2950"/>
    <x v="0"/>
    <n v="264"/>
    <n v="264"/>
  </r>
  <r>
    <x v="7"/>
    <s v="DCF (D)"/>
    <s v="Dining Chair Frame (D)"/>
    <n v="6"/>
    <n v="623"/>
    <n v="3738"/>
    <x v="0"/>
    <n v="83"/>
    <n v="498"/>
  </r>
  <r>
    <x v="8"/>
    <s v="CTF (C)"/>
    <s v="Centre Table Frame (C)"/>
    <n v="2"/>
    <n v="850"/>
    <n v="1700"/>
    <x v="0"/>
    <n v="93"/>
    <n v="186"/>
  </r>
  <r>
    <x v="9"/>
    <s v="SSF (B)"/>
    <s v="Sofa Side Frame (B)"/>
    <n v="1"/>
    <n v="3225"/>
    <n v="3225"/>
    <x v="2"/>
    <n v="494"/>
    <n v="494"/>
  </r>
  <r>
    <x v="10"/>
    <s v="DCF (A)"/>
    <s v="Dining Chair Frame (A)"/>
    <n v="4"/>
    <n v="700"/>
    <n v="2800"/>
    <x v="1"/>
    <n v="95"/>
    <n v="380"/>
  </r>
  <r>
    <x v="11"/>
    <s v="DCF (D)"/>
    <s v="Dining Chair Frame (D)"/>
    <n v="6"/>
    <n v="623"/>
    <n v="3738"/>
    <x v="1"/>
    <n v="83"/>
    <n v="498"/>
  </r>
  <r>
    <x v="12"/>
    <s v="BSF (D)"/>
    <s v="Bed Side Frame (D)"/>
    <n v="1"/>
    <n v="1650"/>
    <n v="1650"/>
    <x v="1"/>
    <n v="240"/>
    <n v="240"/>
  </r>
  <r>
    <x v="12"/>
    <s v="DCF (D)"/>
    <s v="Dining Chair Frame (D)"/>
    <n v="4"/>
    <n v="623"/>
    <n v="2492"/>
    <x v="1"/>
    <n v="83"/>
    <n v="332"/>
  </r>
  <r>
    <x v="13"/>
    <s v="CTF (A)"/>
    <s v="Centre Table Frame (A)"/>
    <n v="3"/>
    <n v="750"/>
    <n v="2250"/>
    <x v="2"/>
    <n v="47"/>
    <n v="141"/>
  </r>
  <r>
    <x v="13"/>
    <s v="Teak Sawn Timber"/>
    <s v="Teak Sawn Timber Different Cut Size"/>
    <n v="12.55"/>
    <n v="1200"/>
    <n v="15060"/>
    <x v="1"/>
    <n v="150"/>
    <n v="1882.5"/>
  </r>
  <r>
    <x v="14"/>
    <s v="CTF (C)"/>
    <s v="Centre Table Frame (C)"/>
    <n v="4"/>
    <n v="850"/>
    <n v="3400"/>
    <x v="1"/>
    <n v="93"/>
    <n v="372"/>
  </r>
  <r>
    <x v="14"/>
    <s v="DCF (A)"/>
    <s v="Dining Chair Frame (A)"/>
    <n v="4"/>
    <n v="700"/>
    <n v="2800"/>
    <x v="2"/>
    <n v="95"/>
    <n v="380"/>
  </r>
  <r>
    <x v="15"/>
    <s v="Chair Frame (B)"/>
    <s v="Chair Frame (B)"/>
    <n v="6"/>
    <n v="725"/>
    <n v="4350"/>
    <x v="1"/>
    <n v="74"/>
    <n v="444"/>
  </r>
  <r>
    <x v="15"/>
    <s v="SSF (A)"/>
    <s v="Sofa Side Frame (A)"/>
    <n v="3"/>
    <n v="3600"/>
    <n v="10800"/>
    <x v="1"/>
    <n v="525"/>
    <n v="1575"/>
  </r>
  <r>
    <x v="16"/>
    <s v="Chair Frame (B)"/>
    <s v="Chair Frame (B)"/>
    <n v="4"/>
    <n v="725"/>
    <n v="2900"/>
    <x v="0"/>
    <n v="74"/>
    <n v="296"/>
  </r>
  <r>
    <x v="16"/>
    <s v="SSF (B)"/>
    <s v="Sofa Side Frame (B)"/>
    <n v="3"/>
    <n v="3225"/>
    <n v="9675"/>
    <x v="1"/>
    <n v="494"/>
    <n v="1482"/>
  </r>
  <r>
    <x v="17"/>
    <s v="DCF (D)"/>
    <s v="Dining Chair Frame (D)"/>
    <n v="4"/>
    <n v="623"/>
    <n v="2492"/>
    <x v="2"/>
    <n v="83"/>
    <n v="332"/>
  </r>
  <r>
    <x v="18"/>
    <s v="SSF (B)"/>
    <s v="Sofa Side Frame (B)"/>
    <n v="1"/>
    <n v="3225"/>
    <n v="3225"/>
    <x v="2"/>
    <n v="494"/>
    <n v="494"/>
  </r>
  <r>
    <x v="18"/>
    <s v="SSF (E)"/>
    <s v="Sofa Side Frame (E)"/>
    <n v="1"/>
    <n v="2950"/>
    <n v="2950"/>
    <x v="2"/>
    <n v="264"/>
    <n v="264"/>
  </r>
  <r>
    <x v="19"/>
    <s v="Teak Sawn Timber"/>
    <s v="Teak Sawn Timber Different Cut Size"/>
    <n v="7.33"/>
    <n v="1200"/>
    <n v="8796"/>
    <x v="1"/>
    <n v="150"/>
    <n v="1099.5"/>
  </r>
  <r>
    <x v="19"/>
    <s v="SSF (A)"/>
    <s v="Sofa Side Frame (A)"/>
    <n v="2"/>
    <n v="3600"/>
    <n v="7200"/>
    <x v="1"/>
    <n v="525"/>
    <n v="1050"/>
  </r>
  <r>
    <x v="20"/>
    <s v="SSF (B)"/>
    <s v="Sofa Side Frame (B)"/>
    <n v="3"/>
    <n v="3225"/>
    <n v="9675"/>
    <x v="1"/>
    <n v="494"/>
    <n v="1482"/>
  </r>
  <r>
    <x v="21"/>
    <s v="BSF (A)"/>
    <s v="Bed Side Frame (A)"/>
    <n v="1"/>
    <n v="2923"/>
    <n v="2923"/>
    <x v="1"/>
    <n v="443"/>
    <n v="443"/>
  </r>
  <r>
    <x v="22"/>
    <s v="Teak Sawn Timber"/>
    <s v="Teak Sawn Timber Different Cut Size"/>
    <n v="7.33"/>
    <n v="1200"/>
    <n v="8796"/>
    <x v="1"/>
    <n v="150"/>
    <n v="1099.5"/>
  </r>
  <r>
    <x v="22"/>
    <s v="SSF (A)"/>
    <s v="Sofa Side Frame (A)"/>
    <n v="2"/>
    <n v="3600"/>
    <n v="7200"/>
    <x v="1"/>
    <n v="525"/>
    <n v="1050"/>
  </r>
  <r>
    <x v="22"/>
    <s v="BSF (D)"/>
    <s v="Bed Side Frame (D)"/>
    <n v="2"/>
    <n v="1650"/>
    <n v="3300"/>
    <x v="1"/>
    <n v="240"/>
    <n v="480"/>
  </r>
  <r>
    <x v="22"/>
    <s v="CTF (C)"/>
    <s v="Centre Table Frame (C)"/>
    <n v="2"/>
    <n v="850"/>
    <n v="1700"/>
    <x v="2"/>
    <n v="93"/>
    <n v="186"/>
  </r>
  <r>
    <x v="22"/>
    <s v="Chair Frame (A)"/>
    <s v="Chair Frame (A)"/>
    <n v="6"/>
    <n v="950"/>
    <n v="5700"/>
    <x v="1"/>
    <n v="150"/>
    <n v="900"/>
  </r>
  <r>
    <x v="23"/>
    <s v="BSF (D)"/>
    <s v="Bed Side Frame (D)"/>
    <n v="1"/>
    <n v="1650"/>
    <n v="1650"/>
    <x v="1"/>
    <n v="240"/>
    <n v="240"/>
  </r>
  <r>
    <x v="23"/>
    <s v="BSF (F)"/>
    <s v="Bed Side Frame (F)"/>
    <n v="1"/>
    <n v="3120"/>
    <n v="3120"/>
    <x v="1"/>
    <n v="400"/>
    <n v="400"/>
  </r>
  <r>
    <x v="24"/>
    <s v="SSF (D)"/>
    <s v="Sofa Side Frame (D)"/>
    <n v="2"/>
    <n v="5450"/>
    <n v="10900"/>
    <x v="0"/>
    <n v="1120"/>
    <n v="2240"/>
  </r>
  <r>
    <x v="24"/>
    <s v="SSF (B)"/>
    <s v="Sofa Side Frame (B)"/>
    <n v="3"/>
    <n v="3225"/>
    <n v="9675"/>
    <x v="1"/>
    <n v="494"/>
    <n v="1482"/>
  </r>
  <r>
    <x v="25"/>
    <s v="BSF (D)"/>
    <s v="Bed Side Frame (D)"/>
    <n v="2"/>
    <n v="1650"/>
    <n v="3300"/>
    <x v="1"/>
    <n v="240"/>
    <n v="480"/>
  </r>
  <r>
    <x v="26"/>
    <s v="Chair Frame (A)"/>
    <s v="Chair Frame (A)"/>
    <n v="6"/>
    <n v="950"/>
    <n v="5700"/>
    <x v="1"/>
    <n v="150"/>
    <n v="900"/>
  </r>
  <r>
    <x v="27"/>
    <s v="SSF (A)"/>
    <s v="Sofa Side Frame (A)"/>
    <n v="1"/>
    <n v="3600"/>
    <n v="3600"/>
    <x v="1"/>
    <n v="525"/>
    <n v="525"/>
  </r>
  <r>
    <x v="27"/>
    <s v="Teak Sawn Timber"/>
    <s v="Teak Sawn Timber Different Cut Size"/>
    <n v="12.55"/>
    <n v="1200"/>
    <n v="15060"/>
    <x v="1"/>
    <n v="150"/>
    <n v="1882.5"/>
  </r>
  <r>
    <x v="27"/>
    <s v="CTF (B)"/>
    <s v="Centre Table Frame (B)"/>
    <n v="4"/>
    <n v="1015"/>
    <n v="4060"/>
    <x v="2"/>
    <n v="135"/>
    <n v="540"/>
  </r>
  <r>
    <x v="27"/>
    <s v="BSF (D)"/>
    <s v="Bed Side Frame (D)"/>
    <n v="1"/>
    <n v="1650"/>
    <n v="1650"/>
    <x v="2"/>
    <n v="240"/>
    <n v="240"/>
  </r>
  <r>
    <x v="28"/>
    <s v="Teak Sawn Timber"/>
    <s v="Teak Sawn Timber Different Cut Size"/>
    <n v="12.55"/>
    <n v="1200"/>
    <n v="15060"/>
    <x v="1"/>
    <n v="150"/>
    <n v="1882.5"/>
  </r>
  <r>
    <x v="28"/>
    <s v="CTF (A)"/>
    <s v="Centre Table Frame (A)"/>
    <n v="1"/>
    <n v="750"/>
    <n v="750"/>
    <x v="1"/>
    <n v="47"/>
    <n v="47"/>
  </r>
  <r>
    <x v="28"/>
    <s v="SSF (A)"/>
    <s v="Sofa Side Frame (A)"/>
    <n v="1"/>
    <n v="3600"/>
    <n v="3600"/>
    <x v="1"/>
    <n v="525"/>
    <n v="525"/>
  </r>
  <r>
    <x v="28"/>
    <s v="BSF (F)"/>
    <s v="Bed Side Frame (F)"/>
    <n v="1"/>
    <n v="3120"/>
    <n v="3120"/>
    <x v="2"/>
    <n v="400"/>
    <n v="400"/>
  </r>
  <r>
    <x v="29"/>
    <s v="SSF (B)"/>
    <s v="Sofa Side Frame (B)"/>
    <n v="3"/>
    <n v="3225"/>
    <n v="9675"/>
    <x v="1"/>
    <n v="494"/>
    <n v="1482"/>
  </r>
  <r>
    <x v="29"/>
    <s v="CTF (C)"/>
    <s v="Centre Table Frame (C)"/>
    <n v="3"/>
    <n v="850"/>
    <n v="2550"/>
    <x v="1"/>
    <n v="93"/>
    <n v="279"/>
  </r>
  <r>
    <x v="30"/>
    <s v="SSF (D)"/>
    <s v="Sofa Side Frame (D)"/>
    <n v="1"/>
    <n v="5450"/>
    <n v="5450"/>
    <x v="1"/>
    <n v="1120"/>
    <n v="1120"/>
  </r>
  <r>
    <x v="31"/>
    <s v="CTF (C)"/>
    <s v="Centre Table Frame (C)"/>
    <n v="1"/>
    <n v="850"/>
    <n v="850"/>
    <x v="1"/>
    <n v="93"/>
    <n v="93"/>
  </r>
  <r>
    <x v="32"/>
    <s v="Chair Frame (A)"/>
    <s v="Chair Frame (A)"/>
    <n v="6"/>
    <n v="950"/>
    <n v="5700"/>
    <x v="2"/>
    <n v="150"/>
    <n v="900"/>
  </r>
  <r>
    <x v="33"/>
    <s v="SSF (A)"/>
    <s v="Sofa Side Frame (A)"/>
    <n v="5"/>
    <n v="3600"/>
    <n v="18000"/>
    <x v="1"/>
    <n v="525"/>
    <n v="2625"/>
  </r>
  <r>
    <x v="33"/>
    <s v="CTSF (A)"/>
    <s v="Centre Table Side Frame (A)"/>
    <n v="2"/>
    <n v="985"/>
    <n v="1970"/>
    <x v="1"/>
    <n v="95"/>
    <n v="190"/>
  </r>
  <r>
    <x v="34"/>
    <s v="SSF (C)"/>
    <s v="Sofa Side Frame (C)"/>
    <n v="2"/>
    <n v="4540"/>
    <n v="9080"/>
    <x v="0"/>
    <n v="810"/>
    <n v="1620"/>
  </r>
  <r>
    <x v="35"/>
    <s v="SSF (D)"/>
    <s v="Sofa Side Frame (D)"/>
    <n v="2"/>
    <n v="5450"/>
    <n v="10900"/>
    <x v="1"/>
    <n v="1120"/>
    <n v="2240"/>
  </r>
  <r>
    <x v="36"/>
    <s v="CTSF (A)"/>
    <s v="Centre Table Side Frame (A)"/>
    <n v="1"/>
    <n v="985"/>
    <n v="985"/>
    <x v="2"/>
    <n v="95"/>
    <n v="95"/>
  </r>
  <r>
    <x v="37"/>
    <s v="SSF (C)"/>
    <s v="Sofa Side Frame (C)"/>
    <n v="1"/>
    <n v="4540"/>
    <n v="4540"/>
    <x v="1"/>
    <n v="810"/>
    <n v="810"/>
  </r>
  <r>
    <x v="37"/>
    <s v="DCF (C)"/>
    <s v="Dining Chair Frame (C)"/>
    <n v="6"/>
    <n v="710"/>
    <n v="4260"/>
    <x v="2"/>
    <n v="85"/>
    <n v="510"/>
  </r>
  <r>
    <x v="37"/>
    <s v="BSF (C)"/>
    <s v="Bed Side Frame (C)"/>
    <n v="1"/>
    <n v="4525"/>
    <n v="4525"/>
    <x v="2"/>
    <n v="965"/>
    <n v="965"/>
  </r>
  <r>
    <x v="38"/>
    <s v="BSF (C)"/>
    <s v="Bed Side Frame (C)"/>
    <n v="3"/>
    <n v="4525"/>
    <n v="13575"/>
    <x v="1"/>
    <n v="965"/>
    <n v="2895"/>
  </r>
  <r>
    <x v="38"/>
    <s v="DCF (D)"/>
    <s v="Dining Chair Frame (D)"/>
    <n v="4"/>
    <n v="623"/>
    <n v="2492"/>
    <x v="0"/>
    <n v="83"/>
    <n v="332"/>
  </r>
  <r>
    <x v="39"/>
    <s v="BSF (F)"/>
    <s v="Bed Side Frame (F)"/>
    <n v="1"/>
    <n v="3120"/>
    <n v="3120"/>
    <x v="2"/>
    <n v="400"/>
    <n v="400"/>
  </r>
  <r>
    <x v="39"/>
    <s v="CTF (B)"/>
    <s v="Centre Table Frame (B)"/>
    <n v="2"/>
    <n v="1015"/>
    <n v="2030"/>
    <x v="2"/>
    <n v="135"/>
    <n v="270"/>
  </r>
  <r>
    <x v="40"/>
    <s v="DCF (C)"/>
    <s v="Dining Chair Frame (C)"/>
    <n v="6"/>
    <n v="710"/>
    <n v="4260"/>
    <x v="1"/>
    <n v="85"/>
    <n v="510"/>
  </r>
  <r>
    <x v="41"/>
    <s v="DCF (D)"/>
    <s v="Dining Chair Frame (D)"/>
    <n v="4"/>
    <n v="623"/>
    <n v="2492"/>
    <x v="1"/>
    <n v="83"/>
    <n v="3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96771-0032-48F5-AEEF-0DC4879CC4A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B50:G73" firstHeaderRow="1" firstDataRow="2" firstDataCol="1"/>
  <pivotFields count="10">
    <pivotField numFmtId="14" showAll="0"/>
    <pivotField axis="axisRow" showAll="0">
      <items count="22">
        <item x="3"/>
        <item x="2"/>
        <item x="20"/>
        <item x="12"/>
        <item x="18"/>
        <item x="17"/>
        <item x="15"/>
        <item x="13"/>
        <item x="19"/>
        <item x="10"/>
        <item x="0"/>
        <item x="5"/>
        <item x="1"/>
        <item x="6"/>
        <item x="9"/>
        <item x="16"/>
        <item x="11"/>
        <item x="4"/>
        <item x="7"/>
        <item x="8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4AEDE-A031-48E0-B0DE-4C8E2991B3C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B100:D119" firstHeaderRow="0" firstDataRow="1" firstDataCol="1" rowPageCount="1" colPageCount="1"/>
  <pivotFields count="6">
    <pivotField axis="axisPage" numFmtId="14" showAll="0">
      <items count="12">
        <item x="8"/>
        <item x="0"/>
        <item x="1"/>
        <item x="2"/>
        <item x="3"/>
        <item x="4"/>
        <item x="5"/>
        <item x="6"/>
        <item x="7"/>
        <item x="10"/>
        <item x="9"/>
        <item t="default"/>
      </items>
    </pivotField>
    <pivotField axis="axisRow" showAll="0" sortType="ascending">
      <items count="23">
        <item x="0"/>
        <item x="10"/>
        <item x="15"/>
        <item x="12"/>
        <item x="11"/>
        <item x="4"/>
        <item x="1"/>
        <item x="9"/>
        <item x="16"/>
        <item x="5"/>
        <item x="3"/>
        <item x="17"/>
        <item m="1" x="19"/>
        <item x="13"/>
        <item m="1" x="21"/>
        <item x="6"/>
        <item x="2"/>
        <item x="14"/>
        <item x="8"/>
        <item m="1" x="20"/>
        <item x="7"/>
        <item m="1" x="18"/>
        <item t="default"/>
      </items>
    </pivotField>
    <pivotField showAll="0"/>
    <pivotField dataField="1"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2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Total Amount" fld="5" baseField="0" baseItem="0"/>
    <dataField name="Sum of Qty" fld="3" baseField="0" baseItem="0"/>
  </dataFields>
  <chartFormats count="2"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CB92C-C8AD-4970-AE02-7A9FF944028D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31:D35" firstHeaderRow="1" firstDataRow="1" firstDataCol="1"/>
  <pivotFields count="10">
    <pivotField showAll="0">
      <items count="43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9"/>
        <item x="3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5" baseField="0" baseItem="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4200A-B6BE-4ADF-AFAD-9108DB893AC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7:C32" firstHeaderRow="1" firstDataRow="1" firstDataCol="1"/>
  <pivotFields count="20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9"/>
    <field x="0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 (₹)" fld="14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9" type="button" dataOnly="0" labelOnly="1" outline="0" axis="axisRow" fieldPosition="0"/>
    </format>
    <format dxfId="2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2B855-2BB4-47CD-9AB6-FC21D7B27CF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C16" firstHeaderRow="1" firstDataRow="1" firstDataCol="1"/>
  <pivotFields count="22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13">
        <item x="0"/>
        <item x="3"/>
        <item x="8"/>
        <item x="5"/>
        <item x="7"/>
        <item x="1"/>
        <item x="4"/>
        <item x="11"/>
        <item x="6"/>
        <item x="10"/>
        <item x="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 Profit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DABD0D-229F-433E-AF7C-3747233FF1CE}" autoFormatId="16" applyNumberFormats="0" applyBorderFormats="0" applyFontFormats="0" applyPatternFormats="0" applyAlignmentFormats="0" applyWidthHeightFormats="0">
  <queryTableRefresh nextId="19" unboundColumnsRight="2">
    <queryTableFields count="9">
      <queryTableField id="1" name="Date" tableColumnId="1"/>
      <queryTableField id="2" name="Item Code" tableColumnId="2"/>
      <queryTableField id="3" name="Item Description" tableColumnId="3"/>
      <queryTableField id="4" name="Qty" tableColumnId="4"/>
      <queryTableField id="5" name="Rate" tableColumnId="5"/>
      <queryTableField id="6" name="Total Amount" tableColumnId="6"/>
      <queryTableField id="7" name="Coustomer Type" tableColumnId="7"/>
      <queryTableField id="15" dataBound="0" tableColumnId="8"/>
      <queryTableField id="17" dataBound="0" tableColumnId="10"/>
    </queryTableFields>
    <queryTableDeletedFields count="1"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14674-0BB1-47F5-B218-DAFE870FF4C2}" name="Sale" displayName="Sale" ref="A1:I70" tableType="queryTable" totalsRowShown="0" headerRowDxfId="11">
  <tableColumns count="9">
    <tableColumn id="1" xr3:uid="{2CE2FBF2-BCAE-45A2-B53E-FBB05F8E5A3A}" uniqueName="1" name="Date" queryTableFieldId="1" dataDxfId="10"/>
    <tableColumn id="2" xr3:uid="{B6CECF7D-0E38-434D-AA6D-A35C18C22D03}" uniqueName="2" name="Item Code" queryTableFieldId="2" dataDxfId="9"/>
    <tableColumn id="3" xr3:uid="{266CEDE8-C8AD-45CD-A5CE-5BBDA4B956D1}" uniqueName="3" name="Item Description" queryTableFieldId="3" dataDxfId="8"/>
    <tableColumn id="4" xr3:uid="{2CB919F9-FC44-403E-ABFF-851B92F95892}" uniqueName="4" name="Qty" queryTableFieldId="4"/>
    <tableColumn id="5" xr3:uid="{620A5018-7632-46F1-BB40-9BA0B84A20F7}" uniqueName="5" name="Rate" queryTableFieldId="5"/>
    <tableColumn id="6" xr3:uid="{6534A79D-8CCD-4C6E-B94E-CD27D8FF5A72}" uniqueName="6" name="Total Sales" queryTableFieldId="6"/>
    <tableColumn id="7" xr3:uid="{B4B06E26-DB5B-4C54-A6E0-6635B37E30DD}" uniqueName="7" name="Coustomer Type" queryTableFieldId="7" dataDxfId="7"/>
    <tableColumn id="8" xr3:uid="{A0AFBA07-1423-4138-BDDE-14B71B672CEB}" uniqueName="8" name="Profit Per Product" queryTableFieldId="15" dataDxfId="6"/>
    <tableColumn id="10" xr3:uid="{E437C6DE-75D6-42DF-AFB7-1A024B30ED08}" uniqueName="10" name="Total Profit" queryTableFieldId="1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opLeftCell="A46" workbookViewId="0">
      <selection activeCell="I4" sqref="I4"/>
    </sheetView>
  </sheetViews>
  <sheetFormatPr defaultRowHeight="14.4"/>
  <cols>
    <col min="1" max="1" width="10.33203125" style="3" bestFit="1" customWidth="1"/>
    <col min="2" max="2" width="9.33203125" customWidth="1"/>
    <col min="3" max="3" width="30.88671875" bestFit="1" customWidth="1"/>
    <col min="4" max="4" width="17.77734375" bestFit="1" customWidth="1"/>
    <col min="5" max="5" width="5" bestFit="1" customWidth="1"/>
    <col min="6" max="6" width="12.5546875" bestFit="1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55</v>
      </c>
      <c r="E1" s="1" t="s">
        <v>3</v>
      </c>
      <c r="F1" s="1" t="s">
        <v>140</v>
      </c>
    </row>
    <row r="2" spans="1:6">
      <c r="A2" s="3">
        <v>45751</v>
      </c>
      <c r="B2" t="s">
        <v>18</v>
      </c>
      <c r="C2" t="s">
        <v>19</v>
      </c>
      <c r="D2">
        <v>2</v>
      </c>
      <c r="E2">
        <v>2480</v>
      </c>
      <c r="F2">
        <f>D2*E2</f>
        <v>4960</v>
      </c>
    </row>
    <row r="3" spans="1:6">
      <c r="A3" s="3">
        <v>45751</v>
      </c>
      <c r="B3" t="s">
        <v>20</v>
      </c>
      <c r="C3" t="s">
        <v>20</v>
      </c>
      <c r="D3">
        <v>12</v>
      </c>
      <c r="E3">
        <v>651</v>
      </c>
      <c r="F3">
        <f t="shared" ref="F3:F15" si="0">D3*E3</f>
        <v>7812</v>
      </c>
    </row>
    <row r="4" spans="1:6">
      <c r="A4" s="3">
        <v>45751</v>
      </c>
      <c r="B4" t="s">
        <v>16</v>
      </c>
      <c r="C4" t="s">
        <v>17</v>
      </c>
      <c r="D4">
        <v>4</v>
      </c>
      <c r="E4">
        <v>2731</v>
      </c>
      <c r="F4">
        <f t="shared" si="0"/>
        <v>10924</v>
      </c>
    </row>
    <row r="5" spans="1:6">
      <c r="A5" s="3">
        <v>45764</v>
      </c>
      <c r="B5" t="s">
        <v>25</v>
      </c>
      <c r="C5" t="s">
        <v>26</v>
      </c>
      <c r="D5">
        <v>5</v>
      </c>
      <c r="E5">
        <v>890</v>
      </c>
      <c r="F5">
        <f t="shared" si="0"/>
        <v>4450</v>
      </c>
    </row>
    <row r="6" spans="1:6">
      <c r="A6" s="3">
        <v>45764</v>
      </c>
      <c r="B6" t="s">
        <v>38</v>
      </c>
      <c r="C6" t="s">
        <v>38</v>
      </c>
      <c r="D6">
        <v>12</v>
      </c>
      <c r="E6">
        <v>651</v>
      </c>
      <c r="F6">
        <f t="shared" si="0"/>
        <v>7812</v>
      </c>
    </row>
    <row r="7" spans="1:6">
      <c r="A7" s="3">
        <v>45764</v>
      </c>
      <c r="B7" t="s">
        <v>41</v>
      </c>
      <c r="C7" t="s">
        <v>42</v>
      </c>
      <c r="D7">
        <v>5</v>
      </c>
      <c r="E7">
        <v>757</v>
      </c>
      <c r="F7">
        <f t="shared" si="0"/>
        <v>3785</v>
      </c>
    </row>
    <row r="8" spans="1:6">
      <c r="A8" s="3">
        <v>45777</v>
      </c>
      <c r="B8" t="s">
        <v>23</v>
      </c>
      <c r="C8" t="s">
        <v>24</v>
      </c>
      <c r="D8">
        <v>7</v>
      </c>
      <c r="E8">
        <v>3075</v>
      </c>
      <c r="F8">
        <f t="shared" si="0"/>
        <v>21525</v>
      </c>
    </row>
    <row r="9" spans="1:6">
      <c r="A9" s="3">
        <v>45777</v>
      </c>
      <c r="B9" t="s">
        <v>41</v>
      </c>
      <c r="C9" t="s">
        <v>42</v>
      </c>
      <c r="D9">
        <v>3</v>
      </c>
      <c r="E9">
        <v>757</v>
      </c>
      <c r="F9">
        <f t="shared" si="0"/>
        <v>2271</v>
      </c>
    </row>
    <row r="10" spans="1:6">
      <c r="A10" s="3">
        <v>45777</v>
      </c>
      <c r="B10" t="s">
        <v>35</v>
      </c>
      <c r="C10" t="s">
        <v>36</v>
      </c>
      <c r="D10">
        <v>25.1</v>
      </c>
      <c r="E10">
        <v>1050</v>
      </c>
      <c r="F10">
        <f t="shared" si="0"/>
        <v>26355</v>
      </c>
    </row>
    <row r="11" spans="1:6">
      <c r="A11" s="3">
        <v>45786</v>
      </c>
      <c r="B11" t="s">
        <v>16</v>
      </c>
      <c r="C11" t="s">
        <v>17</v>
      </c>
      <c r="D11">
        <v>2</v>
      </c>
      <c r="E11">
        <v>2731</v>
      </c>
      <c r="F11">
        <f t="shared" si="0"/>
        <v>5462</v>
      </c>
    </row>
    <row r="12" spans="1:6">
      <c r="A12" s="3">
        <v>45786</v>
      </c>
      <c r="B12" t="s">
        <v>14</v>
      </c>
      <c r="C12" t="s">
        <v>15</v>
      </c>
      <c r="D12">
        <v>5</v>
      </c>
      <c r="E12">
        <v>4330</v>
      </c>
      <c r="F12">
        <f t="shared" si="0"/>
        <v>21650</v>
      </c>
    </row>
    <row r="13" spans="1:6">
      <c r="A13" s="3">
        <v>45786</v>
      </c>
      <c r="B13" t="s">
        <v>27</v>
      </c>
      <c r="C13" t="s">
        <v>28</v>
      </c>
      <c r="D13">
        <v>3</v>
      </c>
      <c r="E13">
        <v>703</v>
      </c>
      <c r="F13">
        <f t="shared" si="0"/>
        <v>2109</v>
      </c>
    </row>
    <row r="14" spans="1:6">
      <c r="A14" s="3">
        <v>45786</v>
      </c>
      <c r="B14" t="s">
        <v>29</v>
      </c>
      <c r="C14" t="s">
        <v>30</v>
      </c>
      <c r="D14">
        <v>2</v>
      </c>
      <c r="E14">
        <v>1275</v>
      </c>
      <c r="F14">
        <f t="shared" si="0"/>
        <v>2550</v>
      </c>
    </row>
    <row r="15" spans="1:6">
      <c r="A15" s="3">
        <v>45794</v>
      </c>
      <c r="B15" t="s">
        <v>41</v>
      </c>
      <c r="C15" t="s">
        <v>42</v>
      </c>
      <c r="D15">
        <v>8</v>
      </c>
      <c r="E15">
        <v>757</v>
      </c>
      <c r="F15">
        <f t="shared" si="0"/>
        <v>6056</v>
      </c>
    </row>
    <row r="16" spans="1:6">
      <c r="A16" s="3">
        <v>45794</v>
      </c>
      <c r="B16" t="s">
        <v>16</v>
      </c>
      <c r="C16" t="s">
        <v>17</v>
      </c>
      <c r="D16">
        <v>6</v>
      </c>
      <c r="E16">
        <v>2731</v>
      </c>
      <c r="F16">
        <f t="shared" ref="F16:F38" si="1">D16*E16</f>
        <v>16386</v>
      </c>
    </row>
    <row r="17" spans="1:6">
      <c r="A17" s="3">
        <v>45794</v>
      </c>
      <c r="B17" t="s">
        <v>29</v>
      </c>
      <c r="C17" t="s">
        <v>30</v>
      </c>
      <c r="D17">
        <v>2</v>
      </c>
      <c r="E17">
        <v>1275</v>
      </c>
      <c r="F17">
        <f t="shared" si="1"/>
        <v>2550</v>
      </c>
    </row>
    <row r="18" spans="1:6">
      <c r="A18" s="3">
        <v>45804</v>
      </c>
      <c r="B18" t="s">
        <v>27</v>
      </c>
      <c r="C18" t="s">
        <v>28</v>
      </c>
      <c r="D18">
        <v>4</v>
      </c>
      <c r="E18">
        <v>703</v>
      </c>
      <c r="F18">
        <f t="shared" si="1"/>
        <v>2812</v>
      </c>
    </row>
    <row r="19" spans="1:6">
      <c r="A19" s="3">
        <v>45804</v>
      </c>
      <c r="B19" t="s">
        <v>8</v>
      </c>
      <c r="C19" t="s">
        <v>9</v>
      </c>
      <c r="D19">
        <v>3</v>
      </c>
      <c r="E19">
        <v>2720</v>
      </c>
      <c r="F19">
        <f t="shared" si="1"/>
        <v>8160</v>
      </c>
    </row>
    <row r="20" spans="1:6">
      <c r="A20" s="3">
        <v>45804</v>
      </c>
      <c r="B20" t="s">
        <v>14</v>
      </c>
      <c r="C20" t="s">
        <v>15</v>
      </c>
      <c r="D20">
        <v>5</v>
      </c>
      <c r="E20">
        <v>4330</v>
      </c>
      <c r="F20">
        <f t="shared" si="1"/>
        <v>21650</v>
      </c>
    </row>
    <row r="21" spans="1:6">
      <c r="A21" s="3">
        <v>45804</v>
      </c>
      <c r="B21" t="s">
        <v>38</v>
      </c>
      <c r="C21" t="s">
        <v>38</v>
      </c>
      <c r="D21">
        <v>12</v>
      </c>
      <c r="E21">
        <v>800</v>
      </c>
      <c r="F21">
        <f t="shared" si="1"/>
        <v>9600</v>
      </c>
    </row>
    <row r="22" spans="1:6">
      <c r="A22" s="3">
        <v>45818</v>
      </c>
      <c r="B22" t="s">
        <v>16</v>
      </c>
      <c r="C22" t="s">
        <v>17</v>
      </c>
      <c r="D22">
        <v>3</v>
      </c>
      <c r="E22">
        <v>2731</v>
      </c>
      <c r="F22">
        <f t="shared" si="1"/>
        <v>8193</v>
      </c>
    </row>
    <row r="23" spans="1:6">
      <c r="A23" s="3">
        <v>45818</v>
      </c>
      <c r="B23" t="s">
        <v>31</v>
      </c>
      <c r="C23" t="s">
        <v>32</v>
      </c>
      <c r="D23">
        <v>4</v>
      </c>
      <c r="E23">
        <v>1410</v>
      </c>
      <c r="F23">
        <f t="shared" si="1"/>
        <v>5640</v>
      </c>
    </row>
    <row r="24" spans="1:6">
      <c r="A24" s="3">
        <v>45818</v>
      </c>
      <c r="B24" t="s">
        <v>33</v>
      </c>
      <c r="C24" t="s">
        <v>34</v>
      </c>
      <c r="D24">
        <v>6</v>
      </c>
      <c r="E24">
        <v>540</v>
      </c>
      <c r="F24">
        <f t="shared" si="1"/>
        <v>3240</v>
      </c>
    </row>
    <row r="25" spans="1:6">
      <c r="A25" s="3">
        <v>45818</v>
      </c>
      <c r="B25" t="s">
        <v>25</v>
      </c>
      <c r="C25" t="s">
        <v>26</v>
      </c>
      <c r="D25">
        <v>2</v>
      </c>
      <c r="E25">
        <v>890</v>
      </c>
      <c r="F25">
        <f t="shared" si="1"/>
        <v>1780</v>
      </c>
    </row>
    <row r="26" spans="1:6">
      <c r="A26" s="3">
        <v>45836</v>
      </c>
      <c r="B26" t="s">
        <v>38</v>
      </c>
      <c r="C26" t="s">
        <v>38</v>
      </c>
      <c r="D26">
        <v>12</v>
      </c>
      <c r="E26">
        <v>800</v>
      </c>
      <c r="F26">
        <f t="shared" si="1"/>
        <v>9600</v>
      </c>
    </row>
    <row r="27" spans="1:6">
      <c r="A27" s="3">
        <v>45836</v>
      </c>
      <c r="B27" t="s">
        <v>10</v>
      </c>
      <c r="C27" t="s">
        <v>11</v>
      </c>
      <c r="D27">
        <v>4</v>
      </c>
      <c r="E27">
        <v>3730</v>
      </c>
      <c r="F27">
        <f t="shared" si="1"/>
        <v>14920</v>
      </c>
    </row>
    <row r="28" spans="1:6">
      <c r="A28" s="3">
        <v>45836</v>
      </c>
      <c r="B28" t="s">
        <v>33</v>
      </c>
      <c r="C28" t="s">
        <v>34</v>
      </c>
      <c r="D28">
        <v>6</v>
      </c>
      <c r="E28">
        <v>540</v>
      </c>
      <c r="F28">
        <f t="shared" si="1"/>
        <v>3240</v>
      </c>
    </row>
    <row r="29" spans="1:6">
      <c r="A29" s="3" t="s">
        <v>98</v>
      </c>
      <c r="B29" t="s">
        <v>21</v>
      </c>
      <c r="C29" t="s">
        <v>22</v>
      </c>
      <c r="D29">
        <v>4</v>
      </c>
      <c r="E29">
        <v>3560</v>
      </c>
      <c r="F29">
        <f t="shared" si="1"/>
        <v>14240</v>
      </c>
    </row>
    <row r="30" spans="1:6">
      <c r="A30" s="3" t="s">
        <v>98</v>
      </c>
      <c r="B30" t="s">
        <v>14</v>
      </c>
      <c r="C30" t="s">
        <v>15</v>
      </c>
      <c r="D30">
        <v>3</v>
      </c>
      <c r="E30">
        <v>4330</v>
      </c>
      <c r="F30">
        <f t="shared" si="1"/>
        <v>12990</v>
      </c>
    </row>
    <row r="31" spans="1:6">
      <c r="A31" s="3" t="s">
        <v>98</v>
      </c>
      <c r="B31" t="s">
        <v>12</v>
      </c>
      <c r="C31" t="s">
        <v>13</v>
      </c>
      <c r="D31">
        <v>3</v>
      </c>
      <c r="E31">
        <v>880</v>
      </c>
      <c r="F31">
        <f t="shared" si="1"/>
        <v>2640</v>
      </c>
    </row>
    <row r="32" spans="1:6">
      <c r="A32" s="3" t="s">
        <v>98</v>
      </c>
      <c r="B32" t="s">
        <v>8</v>
      </c>
      <c r="C32" t="s">
        <v>9</v>
      </c>
      <c r="D32">
        <v>5</v>
      </c>
      <c r="E32">
        <v>2720</v>
      </c>
      <c r="F32">
        <f t="shared" si="1"/>
        <v>13600</v>
      </c>
    </row>
    <row r="33" spans="1:6">
      <c r="A33" s="3">
        <v>45869</v>
      </c>
      <c r="B33" t="s">
        <v>18</v>
      </c>
      <c r="C33" t="s">
        <v>19</v>
      </c>
      <c r="D33">
        <v>2</v>
      </c>
      <c r="E33">
        <v>2480</v>
      </c>
      <c r="F33">
        <f t="shared" si="1"/>
        <v>4960</v>
      </c>
    </row>
    <row r="34" spans="1:6">
      <c r="A34" s="3">
        <v>45865</v>
      </c>
      <c r="B34" t="s">
        <v>39</v>
      </c>
      <c r="C34" t="s">
        <v>40</v>
      </c>
      <c r="D34">
        <v>6</v>
      </c>
      <c r="E34">
        <v>580</v>
      </c>
      <c r="F34">
        <f t="shared" si="1"/>
        <v>3480</v>
      </c>
    </row>
    <row r="35" spans="1:6">
      <c r="A35" s="3">
        <v>45865</v>
      </c>
      <c r="B35" t="s">
        <v>21</v>
      </c>
      <c r="C35" t="s">
        <v>22</v>
      </c>
      <c r="D35">
        <v>5</v>
      </c>
      <c r="E35">
        <v>3560</v>
      </c>
      <c r="F35">
        <f t="shared" si="1"/>
        <v>17800</v>
      </c>
    </row>
    <row r="36" spans="1:6">
      <c r="A36" s="3">
        <v>45865</v>
      </c>
      <c r="B36" t="s">
        <v>12</v>
      </c>
      <c r="C36" t="s">
        <v>13</v>
      </c>
      <c r="D36">
        <v>5</v>
      </c>
      <c r="E36">
        <v>880</v>
      </c>
      <c r="F36">
        <f t="shared" si="1"/>
        <v>4400</v>
      </c>
    </row>
    <row r="37" spans="1:6">
      <c r="A37" s="3">
        <v>45865</v>
      </c>
      <c r="B37" t="s">
        <v>23</v>
      </c>
      <c r="C37" t="s">
        <v>24</v>
      </c>
      <c r="D37">
        <v>2</v>
      </c>
      <c r="E37">
        <v>3075</v>
      </c>
      <c r="F37">
        <f t="shared" si="1"/>
        <v>6150</v>
      </c>
    </row>
    <row r="38" spans="1:6">
      <c r="A38" s="3">
        <v>45865</v>
      </c>
      <c r="B38" t="s">
        <v>35</v>
      </c>
      <c r="C38" t="s">
        <v>36</v>
      </c>
      <c r="D38">
        <v>12.55</v>
      </c>
      <c r="E38">
        <v>1050</v>
      </c>
      <c r="F38">
        <f t="shared" si="1"/>
        <v>13177.5</v>
      </c>
    </row>
  </sheetData>
  <sortState xmlns:xlrd2="http://schemas.microsoft.com/office/spreadsheetml/2017/richdata2" ref="I3:N39">
    <sortCondition ref="J3:J3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2B7D-B6C9-4227-A1FC-5315BB798862}">
  <dimension ref="A1:R70"/>
  <sheetViews>
    <sheetView workbookViewId="0">
      <selection activeCell="D1" sqref="D1:D1048576"/>
    </sheetView>
  </sheetViews>
  <sheetFormatPr defaultRowHeight="14.4"/>
  <cols>
    <col min="1" max="1" width="10.33203125" bestFit="1" customWidth="1"/>
    <col min="2" max="2" width="15.88671875" bestFit="1" customWidth="1"/>
    <col min="3" max="3" width="30.88671875" bestFit="1" customWidth="1"/>
    <col min="4" max="4" width="6.21875" bestFit="1" customWidth="1"/>
    <col min="5" max="5" width="7" bestFit="1" customWidth="1"/>
    <col min="6" max="6" width="14.77734375" bestFit="1" customWidth="1"/>
    <col min="7" max="7" width="9.88671875" customWidth="1"/>
    <col min="10" max="10" width="12" style="38" customWidth="1"/>
    <col min="11" max="11" width="10.33203125" bestFit="1" customWidth="1"/>
  </cols>
  <sheetData>
    <row r="1" spans="1:18">
      <c r="A1" s="9" t="s">
        <v>0</v>
      </c>
      <c r="B1" s="9" t="s">
        <v>1</v>
      </c>
      <c r="C1" s="9" t="s">
        <v>2</v>
      </c>
      <c r="D1" s="9" t="s">
        <v>55</v>
      </c>
      <c r="E1" s="9" t="s">
        <v>3</v>
      </c>
      <c r="F1" s="9" t="s">
        <v>137</v>
      </c>
      <c r="G1" s="9" t="s">
        <v>96</v>
      </c>
      <c r="H1" s="9" t="s">
        <v>134</v>
      </c>
      <c r="I1" s="9" t="s">
        <v>103</v>
      </c>
      <c r="J1" s="39" t="s">
        <v>136</v>
      </c>
      <c r="K1" s="9"/>
    </row>
    <row r="2" spans="1:18">
      <c r="A2" s="3">
        <v>45749</v>
      </c>
      <c r="B2" t="s">
        <v>25</v>
      </c>
      <c r="C2" t="s">
        <v>26</v>
      </c>
      <c r="D2">
        <v>6</v>
      </c>
      <c r="E2">
        <v>985</v>
      </c>
      <c r="F2">
        <f>Sale[[#This Row],[Rate]]*Sale[[#This Row],[Qty]]</f>
        <v>5910</v>
      </c>
      <c r="G2" t="s">
        <v>97</v>
      </c>
      <c r="H2">
        <v>95</v>
      </c>
      <c r="I2">
        <v>570</v>
      </c>
      <c r="J2" s="38" t="s">
        <v>142</v>
      </c>
      <c r="K2" s="3"/>
    </row>
    <row r="3" spans="1:18">
      <c r="A3" s="3">
        <v>45750</v>
      </c>
      <c r="B3" t="s">
        <v>39</v>
      </c>
      <c r="C3" t="s">
        <v>40</v>
      </c>
      <c r="D3">
        <v>4</v>
      </c>
      <c r="E3">
        <v>660</v>
      </c>
      <c r="F3">
        <f>Sale[[#This Row],[Rate]]*Sale[[#This Row],[Qty]]</f>
        <v>2640</v>
      </c>
      <c r="G3" t="s">
        <v>46</v>
      </c>
      <c r="H3">
        <v>80</v>
      </c>
      <c r="I3">
        <v>320</v>
      </c>
      <c r="J3" s="38" t="s">
        <v>142</v>
      </c>
      <c r="K3" s="3"/>
    </row>
    <row r="4" spans="1:18">
      <c r="A4" s="3">
        <v>45750</v>
      </c>
      <c r="B4" t="s">
        <v>29</v>
      </c>
      <c r="C4" t="s">
        <v>30</v>
      </c>
      <c r="D4">
        <v>1</v>
      </c>
      <c r="E4">
        <v>1425</v>
      </c>
      <c r="F4">
        <f>Sale[[#This Row],[Rate]]*Sale[[#This Row],[Qty]]</f>
        <v>1425</v>
      </c>
      <c r="G4" t="s">
        <v>46</v>
      </c>
      <c r="H4">
        <v>150</v>
      </c>
      <c r="I4">
        <v>150</v>
      </c>
      <c r="J4" s="38" t="s">
        <v>142</v>
      </c>
      <c r="K4" s="3"/>
    </row>
    <row r="5" spans="1:18" ht="15" thickBot="1">
      <c r="A5" s="3">
        <v>45752</v>
      </c>
      <c r="B5" t="s">
        <v>18</v>
      </c>
      <c r="C5" t="s">
        <v>19</v>
      </c>
      <c r="D5">
        <v>1</v>
      </c>
      <c r="E5">
        <v>2923</v>
      </c>
      <c r="F5">
        <f>Sale[[#This Row],[Rate]]*Sale[[#This Row],[Qty]]</f>
        <v>2923</v>
      </c>
      <c r="G5" t="s">
        <v>46</v>
      </c>
      <c r="H5">
        <v>443</v>
      </c>
      <c r="I5">
        <v>443</v>
      </c>
      <c r="J5" s="38" t="s">
        <v>142</v>
      </c>
      <c r="K5" s="3"/>
    </row>
    <row r="6" spans="1:18">
      <c r="A6" s="3">
        <v>45755</v>
      </c>
      <c r="B6" t="s">
        <v>10</v>
      </c>
      <c r="C6" t="s">
        <v>11</v>
      </c>
      <c r="D6">
        <v>2</v>
      </c>
      <c r="E6">
        <v>4540</v>
      </c>
      <c r="F6">
        <f>Sale[[#This Row],[Rate]]*Sale[[#This Row],[Qty]]</f>
        <v>9080</v>
      </c>
      <c r="G6" t="s">
        <v>46</v>
      </c>
      <c r="H6">
        <v>810</v>
      </c>
      <c r="I6">
        <v>1620</v>
      </c>
      <c r="J6" s="38" t="s">
        <v>142</v>
      </c>
      <c r="K6" s="3"/>
      <c r="M6" s="41" t="s">
        <v>159</v>
      </c>
      <c r="N6" s="41"/>
      <c r="O6" s="41" t="s">
        <v>160</v>
      </c>
      <c r="P6" s="41"/>
      <c r="Q6" s="41" t="s">
        <v>161</v>
      </c>
      <c r="R6" s="41"/>
    </row>
    <row r="7" spans="1:18">
      <c r="A7" s="3">
        <v>45757</v>
      </c>
      <c r="B7" t="s">
        <v>67</v>
      </c>
      <c r="C7" t="s">
        <v>37</v>
      </c>
      <c r="D7">
        <v>4</v>
      </c>
      <c r="E7">
        <v>700</v>
      </c>
      <c r="F7">
        <f>Sale[[#This Row],[Rate]]*Sale[[#This Row],[Qty]]</f>
        <v>2800</v>
      </c>
      <c r="G7" t="s">
        <v>47</v>
      </c>
      <c r="H7">
        <v>95</v>
      </c>
      <c r="I7">
        <v>380</v>
      </c>
      <c r="J7" s="38" t="s">
        <v>142</v>
      </c>
      <c r="K7" s="3"/>
      <c r="M7" s="9" t="s">
        <v>55</v>
      </c>
      <c r="O7" s="9" t="s">
        <v>3</v>
      </c>
      <c r="Q7" s="9" t="s">
        <v>137</v>
      </c>
    </row>
    <row r="8" spans="1:18">
      <c r="A8" s="3">
        <v>45765</v>
      </c>
      <c r="B8" t="s">
        <v>6</v>
      </c>
      <c r="C8" t="s">
        <v>7</v>
      </c>
      <c r="D8">
        <v>4</v>
      </c>
      <c r="E8">
        <v>710</v>
      </c>
      <c r="F8">
        <f>Sale[[#This Row],[Rate]]*Sale[[#This Row],[Qty]]</f>
        <v>2840</v>
      </c>
      <c r="G8" t="s">
        <v>46</v>
      </c>
      <c r="H8">
        <v>85</v>
      </c>
      <c r="I8">
        <v>340</v>
      </c>
      <c r="J8" s="38" t="s">
        <v>142</v>
      </c>
      <c r="K8" s="3"/>
      <c r="M8" t="s">
        <v>146</v>
      </c>
      <c r="N8">
        <v>3.3523188405797102</v>
      </c>
      <c r="O8" t="s">
        <v>146</v>
      </c>
      <c r="P8">
        <v>2113.9710144927535</v>
      </c>
      <c r="Q8" t="s">
        <v>146</v>
      </c>
      <c r="R8">
        <v>5350.028985507246</v>
      </c>
    </row>
    <row r="9" spans="1:18">
      <c r="A9" s="3">
        <v>45767</v>
      </c>
      <c r="B9" t="s">
        <v>14</v>
      </c>
      <c r="C9" t="s">
        <v>15</v>
      </c>
      <c r="D9">
        <v>3</v>
      </c>
      <c r="E9">
        <v>5450</v>
      </c>
      <c r="F9">
        <f>Sale[[#This Row],[Rate]]*Sale[[#This Row],[Qty]]</f>
        <v>16350</v>
      </c>
      <c r="G9" t="s">
        <v>46</v>
      </c>
      <c r="H9">
        <v>1120</v>
      </c>
      <c r="I9">
        <v>3360</v>
      </c>
      <c r="J9" s="38" t="s">
        <v>142</v>
      </c>
      <c r="K9" s="3"/>
      <c r="M9" t="s">
        <v>147</v>
      </c>
      <c r="N9">
        <v>0.32498292596815642</v>
      </c>
      <c r="O9" t="s">
        <v>147</v>
      </c>
      <c r="P9">
        <v>184.17853144556568</v>
      </c>
      <c r="Q9" t="s">
        <v>147</v>
      </c>
      <c r="R9">
        <v>503.44759489549563</v>
      </c>
    </row>
    <row r="10" spans="1:18">
      <c r="A10" s="3">
        <v>45770</v>
      </c>
      <c r="B10" t="s">
        <v>4</v>
      </c>
      <c r="C10" t="s">
        <v>5</v>
      </c>
      <c r="D10">
        <v>1</v>
      </c>
      <c r="E10">
        <v>2950</v>
      </c>
      <c r="F10">
        <f>Sale[[#This Row],[Rate]]*Sale[[#This Row],[Qty]]</f>
        <v>2950</v>
      </c>
      <c r="G10" t="s">
        <v>97</v>
      </c>
      <c r="H10">
        <v>264</v>
      </c>
      <c r="I10">
        <v>264</v>
      </c>
      <c r="J10" s="38" t="s">
        <v>142</v>
      </c>
      <c r="K10" s="3"/>
      <c r="M10" t="s">
        <v>148</v>
      </c>
      <c r="N10">
        <v>3</v>
      </c>
      <c r="O10" t="s">
        <v>148</v>
      </c>
      <c r="P10">
        <v>1200</v>
      </c>
      <c r="Q10" t="s">
        <v>148</v>
      </c>
      <c r="R10">
        <v>3400</v>
      </c>
    </row>
    <row r="11" spans="1:18">
      <c r="A11" s="3">
        <v>45770</v>
      </c>
      <c r="B11" t="s">
        <v>33</v>
      </c>
      <c r="C11" t="s">
        <v>34</v>
      </c>
      <c r="D11">
        <v>6</v>
      </c>
      <c r="E11">
        <v>623</v>
      </c>
      <c r="F11">
        <f>Sale[[#This Row],[Rate]]*Sale[[#This Row],[Qty]]</f>
        <v>3738</v>
      </c>
      <c r="G11" t="s">
        <v>97</v>
      </c>
      <c r="H11">
        <v>83</v>
      </c>
      <c r="I11">
        <v>498</v>
      </c>
      <c r="J11" s="38" t="s">
        <v>142</v>
      </c>
      <c r="K11" s="3"/>
      <c r="M11" t="s">
        <v>149</v>
      </c>
      <c r="N11">
        <v>1</v>
      </c>
      <c r="O11" t="s">
        <v>149</v>
      </c>
      <c r="P11">
        <v>623</v>
      </c>
      <c r="Q11" t="s">
        <v>149</v>
      </c>
      <c r="R11">
        <v>2492</v>
      </c>
    </row>
    <row r="12" spans="1:18">
      <c r="A12" s="3">
        <v>45772</v>
      </c>
      <c r="B12" t="s">
        <v>41</v>
      </c>
      <c r="C12" t="s">
        <v>42</v>
      </c>
      <c r="D12">
        <v>2</v>
      </c>
      <c r="E12">
        <v>850</v>
      </c>
      <c r="F12">
        <f>Sale[[#This Row],[Rate]]*Sale[[#This Row],[Qty]]</f>
        <v>1700</v>
      </c>
      <c r="G12" t="s">
        <v>97</v>
      </c>
      <c r="H12">
        <v>93</v>
      </c>
      <c r="I12">
        <v>186</v>
      </c>
      <c r="J12" s="38" t="s">
        <v>142</v>
      </c>
      <c r="K12" s="3"/>
      <c r="M12" t="s">
        <v>150</v>
      </c>
      <c r="N12">
        <v>2.699510927888026</v>
      </c>
      <c r="O12" t="s">
        <v>150</v>
      </c>
      <c r="P12">
        <v>1529.9017843429428</v>
      </c>
      <c r="Q12" t="s">
        <v>150</v>
      </c>
      <c r="R12">
        <v>4181.9498054876358</v>
      </c>
    </row>
    <row r="13" spans="1:18">
      <c r="A13" s="3">
        <v>45777</v>
      </c>
      <c r="B13" t="s">
        <v>16</v>
      </c>
      <c r="C13" t="s">
        <v>17</v>
      </c>
      <c r="D13">
        <v>1</v>
      </c>
      <c r="E13">
        <v>3225</v>
      </c>
      <c r="F13">
        <f>Sale[[#This Row],[Rate]]*Sale[[#This Row],[Qty]]</f>
        <v>3225</v>
      </c>
      <c r="G13" t="s">
        <v>47</v>
      </c>
      <c r="H13">
        <v>494</v>
      </c>
      <c r="I13">
        <v>494</v>
      </c>
      <c r="J13" s="38" t="s">
        <v>142</v>
      </c>
      <c r="K13" s="3"/>
      <c r="M13" t="s">
        <v>151</v>
      </c>
      <c r="N13">
        <v>7.2873592497868707</v>
      </c>
      <c r="O13" t="s">
        <v>151</v>
      </c>
      <c r="P13">
        <v>2340599.4697357207</v>
      </c>
      <c r="Q13" t="s">
        <v>151</v>
      </c>
      <c r="R13">
        <v>17488704.175618075</v>
      </c>
    </row>
    <row r="14" spans="1:18">
      <c r="A14" s="3">
        <v>45782</v>
      </c>
      <c r="B14" t="s">
        <v>67</v>
      </c>
      <c r="C14" t="s">
        <v>37</v>
      </c>
      <c r="D14">
        <v>4</v>
      </c>
      <c r="E14">
        <v>700</v>
      </c>
      <c r="F14">
        <f>Sale[[#This Row],[Rate]]*Sale[[#This Row],[Qty]]</f>
        <v>2800</v>
      </c>
      <c r="G14" t="s">
        <v>46</v>
      </c>
      <c r="H14">
        <v>95</v>
      </c>
      <c r="I14">
        <v>380</v>
      </c>
      <c r="J14" s="38" t="s">
        <v>143</v>
      </c>
      <c r="K14" s="3"/>
      <c r="M14" t="s">
        <v>152</v>
      </c>
      <c r="N14">
        <v>3.8517265911955931</v>
      </c>
      <c r="O14" t="s">
        <v>152</v>
      </c>
      <c r="P14">
        <v>-0.75514096653840745</v>
      </c>
      <c r="Q14" t="s">
        <v>152</v>
      </c>
      <c r="R14">
        <v>1.0648599272159149</v>
      </c>
    </row>
    <row r="15" spans="1:18">
      <c r="A15" s="3">
        <v>45786</v>
      </c>
      <c r="B15" t="s">
        <v>33</v>
      </c>
      <c r="C15" t="s">
        <v>34</v>
      </c>
      <c r="D15">
        <v>6</v>
      </c>
      <c r="E15">
        <v>623</v>
      </c>
      <c r="F15">
        <f>Sale[[#This Row],[Rate]]*Sale[[#This Row],[Qty]]</f>
        <v>3738</v>
      </c>
      <c r="G15" t="s">
        <v>46</v>
      </c>
      <c r="H15">
        <v>83</v>
      </c>
      <c r="I15">
        <v>498</v>
      </c>
      <c r="J15" s="38" t="s">
        <v>143</v>
      </c>
      <c r="K15" s="3"/>
      <c r="M15" t="s">
        <v>153</v>
      </c>
      <c r="N15">
        <v>1.7949485979491124</v>
      </c>
      <c r="O15" t="s">
        <v>153</v>
      </c>
      <c r="P15">
        <v>0.74417462610483509</v>
      </c>
      <c r="Q15" t="s">
        <v>153</v>
      </c>
      <c r="R15">
        <v>1.371466203867165</v>
      </c>
    </row>
    <row r="16" spans="1:18">
      <c r="A16" s="3">
        <v>45789</v>
      </c>
      <c r="B16" t="s">
        <v>31</v>
      </c>
      <c r="C16" t="s">
        <v>32</v>
      </c>
      <c r="D16">
        <v>1</v>
      </c>
      <c r="E16">
        <v>1650</v>
      </c>
      <c r="F16">
        <f>Sale[[#This Row],[Rate]]*Sale[[#This Row],[Qty]]</f>
        <v>1650</v>
      </c>
      <c r="G16" t="s">
        <v>46</v>
      </c>
      <c r="H16">
        <v>240</v>
      </c>
      <c r="I16">
        <v>240</v>
      </c>
      <c r="J16" s="38" t="s">
        <v>143</v>
      </c>
      <c r="K16" s="3"/>
      <c r="M16" t="s">
        <v>154</v>
      </c>
      <c r="N16">
        <v>11.55</v>
      </c>
      <c r="O16" t="s">
        <v>154</v>
      </c>
      <c r="P16">
        <v>4827</v>
      </c>
      <c r="Q16" t="s">
        <v>154</v>
      </c>
      <c r="R16">
        <v>17250</v>
      </c>
    </row>
    <row r="17" spans="1:18">
      <c r="A17" s="3">
        <v>45789</v>
      </c>
      <c r="B17" t="s">
        <v>33</v>
      </c>
      <c r="C17" t="s">
        <v>34</v>
      </c>
      <c r="D17">
        <v>4</v>
      </c>
      <c r="E17">
        <v>623</v>
      </c>
      <c r="F17">
        <f>Sale[[#This Row],[Rate]]*Sale[[#This Row],[Qty]]</f>
        <v>2492</v>
      </c>
      <c r="G17" t="s">
        <v>46</v>
      </c>
      <c r="H17">
        <v>83</v>
      </c>
      <c r="I17">
        <v>332</v>
      </c>
      <c r="J17" s="38" t="s">
        <v>143</v>
      </c>
      <c r="K17" s="3"/>
      <c r="M17" t="s">
        <v>155</v>
      </c>
      <c r="N17">
        <v>1</v>
      </c>
      <c r="O17" t="s">
        <v>155</v>
      </c>
      <c r="P17">
        <v>623</v>
      </c>
      <c r="Q17" t="s">
        <v>155</v>
      </c>
      <c r="R17">
        <v>750</v>
      </c>
    </row>
    <row r="18" spans="1:18">
      <c r="A18" s="3">
        <v>45790</v>
      </c>
      <c r="B18" t="s">
        <v>27</v>
      </c>
      <c r="C18" t="s">
        <v>28</v>
      </c>
      <c r="D18">
        <v>3</v>
      </c>
      <c r="E18">
        <v>750</v>
      </c>
      <c r="F18">
        <f>Sale[[#This Row],[Rate]]*Sale[[#This Row],[Qty]]</f>
        <v>2250</v>
      </c>
      <c r="G18" t="s">
        <v>47</v>
      </c>
      <c r="H18">
        <v>47</v>
      </c>
      <c r="I18">
        <v>141</v>
      </c>
      <c r="J18" s="38" t="s">
        <v>143</v>
      </c>
      <c r="K18" s="3"/>
      <c r="M18" t="s">
        <v>156</v>
      </c>
      <c r="N18">
        <v>12.55</v>
      </c>
      <c r="O18" t="s">
        <v>156</v>
      </c>
      <c r="P18">
        <v>5450</v>
      </c>
      <c r="Q18" t="s">
        <v>156</v>
      </c>
      <c r="R18">
        <v>18000</v>
      </c>
    </row>
    <row r="19" spans="1:18">
      <c r="A19" s="3">
        <v>45790</v>
      </c>
      <c r="B19" t="s">
        <v>35</v>
      </c>
      <c r="C19" t="s">
        <v>36</v>
      </c>
      <c r="D19">
        <v>12.55</v>
      </c>
      <c r="E19">
        <v>1200</v>
      </c>
      <c r="F19">
        <f>Sale[[#This Row],[Rate]]*Sale[[#This Row],[Qty]]</f>
        <v>15060</v>
      </c>
      <c r="G19" t="s">
        <v>46</v>
      </c>
      <c r="H19">
        <v>150</v>
      </c>
      <c r="I19">
        <v>1882.5</v>
      </c>
      <c r="J19" s="38" t="s">
        <v>143</v>
      </c>
      <c r="K19" s="3"/>
      <c r="M19" t="s">
        <v>157</v>
      </c>
      <c r="N19">
        <v>231.31</v>
      </c>
      <c r="O19" t="s">
        <v>157</v>
      </c>
      <c r="P19">
        <v>145864</v>
      </c>
      <c r="Q19" t="s">
        <v>157</v>
      </c>
      <c r="R19">
        <v>369152</v>
      </c>
    </row>
    <row r="20" spans="1:18" ht="15" thickBot="1">
      <c r="A20" s="3">
        <v>45795</v>
      </c>
      <c r="B20" t="s">
        <v>41</v>
      </c>
      <c r="C20" t="s">
        <v>42</v>
      </c>
      <c r="D20">
        <v>4</v>
      </c>
      <c r="E20">
        <v>850</v>
      </c>
      <c r="F20">
        <f>Sale[[#This Row],[Rate]]*Sale[[#This Row],[Qty]]</f>
        <v>3400</v>
      </c>
      <c r="G20" t="s">
        <v>46</v>
      </c>
      <c r="H20">
        <v>93</v>
      </c>
      <c r="I20">
        <v>372</v>
      </c>
      <c r="J20" s="38" t="s">
        <v>143</v>
      </c>
      <c r="K20" s="3"/>
      <c r="M20" s="40" t="s">
        <v>158</v>
      </c>
      <c r="N20" s="40">
        <v>69</v>
      </c>
      <c r="O20" s="40" t="s">
        <v>158</v>
      </c>
      <c r="P20" s="40">
        <v>69</v>
      </c>
      <c r="Q20" s="40" t="s">
        <v>158</v>
      </c>
      <c r="R20" s="40">
        <v>69</v>
      </c>
    </row>
    <row r="21" spans="1:18" ht="15" thickBot="1">
      <c r="A21" s="3">
        <v>45795</v>
      </c>
      <c r="B21" t="s">
        <v>67</v>
      </c>
      <c r="C21" t="s">
        <v>37</v>
      </c>
      <c r="D21">
        <v>4</v>
      </c>
      <c r="E21">
        <v>700</v>
      </c>
      <c r="F21">
        <f>Sale[[#This Row],[Rate]]*Sale[[#This Row],[Qty]]</f>
        <v>2800</v>
      </c>
      <c r="G21" t="s">
        <v>47</v>
      </c>
      <c r="H21">
        <v>95</v>
      </c>
      <c r="I21">
        <v>380</v>
      </c>
      <c r="J21" s="38" t="s">
        <v>143</v>
      </c>
      <c r="K21" s="3"/>
    </row>
    <row r="22" spans="1:18">
      <c r="A22" s="3">
        <v>45800</v>
      </c>
      <c r="B22" t="s">
        <v>20</v>
      </c>
      <c r="C22" t="s">
        <v>20</v>
      </c>
      <c r="D22">
        <v>6</v>
      </c>
      <c r="E22">
        <v>725</v>
      </c>
      <c r="F22">
        <f>Sale[[#This Row],[Rate]]*Sale[[#This Row],[Qty]]</f>
        <v>4350</v>
      </c>
      <c r="G22" t="s">
        <v>46</v>
      </c>
      <c r="H22">
        <v>74</v>
      </c>
      <c r="I22">
        <v>444</v>
      </c>
      <c r="J22" s="38" t="s">
        <v>143</v>
      </c>
      <c r="K22" s="3"/>
      <c r="M22" s="41" t="s">
        <v>159</v>
      </c>
      <c r="N22" s="41"/>
      <c r="O22" s="41" t="s">
        <v>160</v>
      </c>
      <c r="P22" s="41"/>
    </row>
    <row r="23" spans="1:18">
      <c r="A23" s="3">
        <v>45800</v>
      </c>
      <c r="B23" t="s">
        <v>23</v>
      </c>
      <c r="C23" t="s">
        <v>24</v>
      </c>
      <c r="D23">
        <v>3</v>
      </c>
      <c r="E23">
        <v>3600</v>
      </c>
      <c r="F23">
        <f>Sale[[#This Row],[Rate]]*Sale[[#This Row],[Qty]]</f>
        <v>10800</v>
      </c>
      <c r="G23" t="s">
        <v>46</v>
      </c>
      <c r="H23">
        <v>525</v>
      </c>
      <c r="I23">
        <v>1575</v>
      </c>
      <c r="J23" s="38" t="s">
        <v>143</v>
      </c>
      <c r="K23" s="3"/>
      <c r="M23" s="9" t="s">
        <v>134</v>
      </c>
      <c r="O23" s="9" t="s">
        <v>103</v>
      </c>
    </row>
    <row r="24" spans="1:18">
      <c r="A24" s="3">
        <v>45802</v>
      </c>
      <c r="B24" t="s">
        <v>20</v>
      </c>
      <c r="C24" t="s">
        <v>20</v>
      </c>
      <c r="D24">
        <v>4</v>
      </c>
      <c r="E24">
        <v>725</v>
      </c>
      <c r="F24">
        <f>Sale[[#This Row],[Rate]]*Sale[[#This Row],[Qty]]</f>
        <v>2900</v>
      </c>
      <c r="G24" t="s">
        <v>97</v>
      </c>
      <c r="H24">
        <v>74</v>
      </c>
      <c r="I24">
        <v>296</v>
      </c>
      <c r="J24" s="38" t="s">
        <v>143</v>
      </c>
      <c r="K24" s="3"/>
      <c r="M24" t="s">
        <v>146</v>
      </c>
      <c r="N24">
        <v>326.05797101449275</v>
      </c>
      <c r="O24" t="s">
        <v>146</v>
      </c>
      <c r="P24">
        <v>796.804347826087</v>
      </c>
    </row>
    <row r="25" spans="1:18">
      <c r="A25" s="3">
        <v>45802</v>
      </c>
      <c r="B25" t="s">
        <v>16</v>
      </c>
      <c r="C25" t="s">
        <v>17</v>
      </c>
      <c r="D25">
        <v>3</v>
      </c>
      <c r="E25">
        <v>3225</v>
      </c>
      <c r="F25">
        <f>Sale[[#This Row],[Rate]]*Sale[[#This Row],[Qty]]</f>
        <v>9675</v>
      </c>
      <c r="G25" t="s">
        <v>46</v>
      </c>
      <c r="H25">
        <v>494</v>
      </c>
      <c r="I25">
        <v>1482</v>
      </c>
      <c r="J25" s="38" t="s">
        <v>143</v>
      </c>
      <c r="K25" s="3"/>
      <c r="M25" t="s">
        <v>147</v>
      </c>
      <c r="N25">
        <v>36.793002249306376</v>
      </c>
      <c r="O25" t="s">
        <v>147</v>
      </c>
      <c r="P25">
        <v>87.569555363586417</v>
      </c>
    </row>
    <row r="26" spans="1:18">
      <c r="A26" s="3">
        <v>45803</v>
      </c>
      <c r="B26" t="s">
        <v>33</v>
      </c>
      <c r="C26" t="s">
        <v>34</v>
      </c>
      <c r="D26">
        <v>4</v>
      </c>
      <c r="E26">
        <v>623</v>
      </c>
      <c r="F26">
        <f>Sale[[#This Row],[Rate]]*Sale[[#This Row],[Qty]]</f>
        <v>2492</v>
      </c>
      <c r="G26" t="s">
        <v>47</v>
      </c>
      <c r="H26">
        <v>83</v>
      </c>
      <c r="I26">
        <v>332</v>
      </c>
      <c r="J26" s="38" t="s">
        <v>143</v>
      </c>
      <c r="K26" s="3"/>
      <c r="M26" t="s">
        <v>148</v>
      </c>
      <c r="N26">
        <v>150</v>
      </c>
      <c r="O26" t="s">
        <v>148</v>
      </c>
      <c r="P26">
        <v>494</v>
      </c>
    </row>
    <row r="27" spans="1:18">
      <c r="A27" s="3">
        <v>45804</v>
      </c>
      <c r="B27" t="s">
        <v>16</v>
      </c>
      <c r="C27" t="s">
        <v>17</v>
      </c>
      <c r="D27">
        <v>1</v>
      </c>
      <c r="E27">
        <v>3225</v>
      </c>
      <c r="F27">
        <f>Sale[[#This Row],[Rate]]*Sale[[#This Row],[Qty]]</f>
        <v>3225</v>
      </c>
      <c r="G27" t="s">
        <v>47</v>
      </c>
      <c r="H27">
        <v>494</v>
      </c>
      <c r="I27">
        <v>494</v>
      </c>
      <c r="J27" s="38" t="s">
        <v>143</v>
      </c>
      <c r="K27" s="3"/>
      <c r="M27" t="s">
        <v>149</v>
      </c>
      <c r="N27">
        <v>150</v>
      </c>
      <c r="O27" t="s">
        <v>149</v>
      </c>
      <c r="P27">
        <v>332</v>
      </c>
    </row>
    <row r="28" spans="1:18">
      <c r="A28" s="3">
        <v>45804</v>
      </c>
      <c r="B28" t="s">
        <v>4</v>
      </c>
      <c r="C28" t="s">
        <v>5</v>
      </c>
      <c r="D28">
        <v>1</v>
      </c>
      <c r="E28">
        <v>2950</v>
      </c>
      <c r="F28">
        <f>Sale[[#This Row],[Rate]]*Sale[[#This Row],[Qty]]</f>
        <v>2950</v>
      </c>
      <c r="G28" t="s">
        <v>47</v>
      </c>
      <c r="H28">
        <v>264</v>
      </c>
      <c r="I28">
        <v>264</v>
      </c>
      <c r="J28" s="38" t="s">
        <v>143</v>
      </c>
      <c r="K28" s="3"/>
      <c r="M28" t="s">
        <v>150</v>
      </c>
      <c r="N28">
        <v>305.62563047248676</v>
      </c>
      <c r="O28" t="s">
        <v>150</v>
      </c>
      <c r="P28">
        <v>727.40735824829244</v>
      </c>
    </row>
    <row r="29" spans="1:18">
      <c r="A29" s="3">
        <v>45807</v>
      </c>
      <c r="B29" t="s">
        <v>35</v>
      </c>
      <c r="C29" t="s">
        <v>36</v>
      </c>
      <c r="D29">
        <v>7.33</v>
      </c>
      <c r="E29">
        <v>1200</v>
      </c>
      <c r="F29">
        <f>Sale[[#This Row],[Rate]]*Sale[[#This Row],[Qty]]</f>
        <v>8796</v>
      </c>
      <c r="G29" t="s">
        <v>46</v>
      </c>
      <c r="H29">
        <v>150</v>
      </c>
      <c r="I29">
        <v>1099.5</v>
      </c>
      <c r="J29" s="38" t="s">
        <v>143</v>
      </c>
      <c r="K29" s="3"/>
      <c r="M29" t="s">
        <v>151</v>
      </c>
      <c r="N29">
        <v>93407.026001705031</v>
      </c>
      <c r="O29" t="s">
        <v>151</v>
      </c>
      <c r="P29">
        <v>529121.46483375959</v>
      </c>
    </row>
    <row r="30" spans="1:18">
      <c r="A30" s="3">
        <v>45807</v>
      </c>
      <c r="B30" t="s">
        <v>23</v>
      </c>
      <c r="C30" t="s">
        <v>24</v>
      </c>
      <c r="D30">
        <v>2</v>
      </c>
      <c r="E30">
        <v>3600</v>
      </c>
      <c r="F30">
        <f>Sale[[#This Row],[Rate]]*Sale[[#This Row],[Qty]]</f>
        <v>7200</v>
      </c>
      <c r="G30" t="s">
        <v>46</v>
      </c>
      <c r="H30">
        <v>525</v>
      </c>
      <c r="I30">
        <v>1050</v>
      </c>
      <c r="J30" s="38" t="s">
        <v>143</v>
      </c>
      <c r="K30" s="3"/>
      <c r="M30" t="s">
        <v>152</v>
      </c>
      <c r="N30">
        <v>0.91368940623453021</v>
      </c>
      <c r="O30" t="s">
        <v>152</v>
      </c>
      <c r="P30">
        <v>2.1192073550695021</v>
      </c>
    </row>
    <row r="31" spans="1:18">
      <c r="A31" s="3">
        <v>45812</v>
      </c>
      <c r="B31" t="s">
        <v>16</v>
      </c>
      <c r="C31" t="s">
        <v>17</v>
      </c>
      <c r="D31">
        <v>3</v>
      </c>
      <c r="E31">
        <v>3225</v>
      </c>
      <c r="F31">
        <f>Sale[[#This Row],[Rate]]*Sale[[#This Row],[Qty]]</f>
        <v>9675</v>
      </c>
      <c r="G31" t="s">
        <v>46</v>
      </c>
      <c r="H31">
        <v>494</v>
      </c>
      <c r="I31">
        <v>1482</v>
      </c>
      <c r="J31" s="38" t="s">
        <v>144</v>
      </c>
      <c r="K31" s="3"/>
      <c r="M31" t="s">
        <v>153</v>
      </c>
      <c r="N31">
        <v>1.3374278157004966</v>
      </c>
      <c r="O31" t="s">
        <v>153</v>
      </c>
      <c r="P31">
        <v>1.5722183205630531</v>
      </c>
    </row>
    <row r="32" spans="1:18">
      <c r="A32" s="3">
        <v>45816</v>
      </c>
      <c r="B32" t="s">
        <v>18</v>
      </c>
      <c r="C32" t="s">
        <v>19</v>
      </c>
      <c r="D32">
        <v>1</v>
      </c>
      <c r="E32">
        <v>2923</v>
      </c>
      <c r="F32">
        <f>Sale[[#This Row],[Rate]]*Sale[[#This Row],[Qty]]</f>
        <v>2923</v>
      </c>
      <c r="G32" t="s">
        <v>46</v>
      </c>
      <c r="H32">
        <v>443</v>
      </c>
      <c r="I32">
        <v>443</v>
      </c>
      <c r="J32" s="38" t="s">
        <v>144</v>
      </c>
      <c r="K32" s="3"/>
      <c r="M32" t="s">
        <v>154</v>
      </c>
      <c r="N32">
        <v>1073</v>
      </c>
      <c r="O32" t="s">
        <v>154</v>
      </c>
      <c r="P32">
        <v>3313</v>
      </c>
    </row>
    <row r="33" spans="1:16">
      <c r="A33" s="3">
        <v>45817</v>
      </c>
      <c r="B33" t="s">
        <v>35</v>
      </c>
      <c r="C33" t="s">
        <v>36</v>
      </c>
      <c r="D33">
        <v>7.33</v>
      </c>
      <c r="E33">
        <v>1200</v>
      </c>
      <c r="F33">
        <f>Sale[[#This Row],[Rate]]*Sale[[#This Row],[Qty]]</f>
        <v>8796</v>
      </c>
      <c r="G33" t="s">
        <v>46</v>
      </c>
      <c r="H33">
        <v>150</v>
      </c>
      <c r="I33">
        <v>1099.5</v>
      </c>
      <c r="J33" s="38" t="s">
        <v>144</v>
      </c>
      <c r="K33" s="3"/>
      <c r="M33" t="s">
        <v>155</v>
      </c>
      <c r="N33">
        <v>47</v>
      </c>
      <c r="O33" t="s">
        <v>155</v>
      </c>
      <c r="P33">
        <v>47</v>
      </c>
    </row>
    <row r="34" spans="1:16">
      <c r="A34" s="3">
        <v>45817</v>
      </c>
      <c r="B34" t="s">
        <v>23</v>
      </c>
      <c r="C34" t="s">
        <v>24</v>
      </c>
      <c r="D34">
        <v>2</v>
      </c>
      <c r="E34">
        <v>3600</v>
      </c>
      <c r="F34">
        <f>Sale[[#This Row],[Rate]]*Sale[[#This Row],[Qty]]</f>
        <v>7200</v>
      </c>
      <c r="G34" t="s">
        <v>46</v>
      </c>
      <c r="H34">
        <v>525</v>
      </c>
      <c r="I34">
        <v>1050</v>
      </c>
      <c r="J34" s="38" t="s">
        <v>144</v>
      </c>
      <c r="K34" s="3"/>
      <c r="M34" t="s">
        <v>156</v>
      </c>
      <c r="N34">
        <v>1120</v>
      </c>
      <c r="O34" t="s">
        <v>156</v>
      </c>
      <c r="P34">
        <v>3360</v>
      </c>
    </row>
    <row r="35" spans="1:16">
      <c r="A35" s="3">
        <v>45817</v>
      </c>
      <c r="B35" t="s">
        <v>31</v>
      </c>
      <c r="C35" t="s">
        <v>32</v>
      </c>
      <c r="D35">
        <v>2</v>
      </c>
      <c r="E35">
        <v>1650</v>
      </c>
      <c r="F35">
        <f>Sale[[#This Row],[Rate]]*Sale[[#This Row],[Qty]]</f>
        <v>3300</v>
      </c>
      <c r="G35" t="s">
        <v>46</v>
      </c>
      <c r="H35">
        <v>240</v>
      </c>
      <c r="I35">
        <v>480</v>
      </c>
      <c r="J35" s="38" t="s">
        <v>144</v>
      </c>
      <c r="K35" s="3"/>
      <c r="M35" t="s">
        <v>157</v>
      </c>
      <c r="N35">
        <v>22498</v>
      </c>
      <c r="O35" t="s">
        <v>157</v>
      </c>
      <c r="P35">
        <v>54979.5</v>
      </c>
    </row>
    <row r="36" spans="1:16" ht="15" thickBot="1">
      <c r="A36" s="3">
        <v>45817</v>
      </c>
      <c r="B36" t="s">
        <v>41</v>
      </c>
      <c r="C36" t="s">
        <v>42</v>
      </c>
      <c r="D36">
        <v>2</v>
      </c>
      <c r="E36">
        <v>850</v>
      </c>
      <c r="F36">
        <f>Sale[[#This Row],[Rate]]*Sale[[#This Row],[Qty]]</f>
        <v>1700</v>
      </c>
      <c r="G36" t="s">
        <v>47</v>
      </c>
      <c r="H36">
        <v>93</v>
      </c>
      <c r="I36">
        <v>186</v>
      </c>
      <c r="J36" s="38" t="s">
        <v>144</v>
      </c>
      <c r="K36" s="3"/>
      <c r="M36" s="40" t="s">
        <v>158</v>
      </c>
      <c r="N36" s="40">
        <v>69</v>
      </c>
      <c r="O36" s="40" t="s">
        <v>158</v>
      </c>
      <c r="P36" s="40">
        <v>69</v>
      </c>
    </row>
    <row r="37" spans="1:16">
      <c r="A37" s="3">
        <v>45817</v>
      </c>
      <c r="B37" t="s">
        <v>38</v>
      </c>
      <c r="C37" t="s">
        <v>38</v>
      </c>
      <c r="D37">
        <v>6</v>
      </c>
      <c r="E37">
        <v>950</v>
      </c>
      <c r="F37">
        <f>Sale[[#This Row],[Rate]]*Sale[[#This Row],[Qty]]</f>
        <v>5700</v>
      </c>
      <c r="G37" t="s">
        <v>46</v>
      </c>
      <c r="H37">
        <v>150</v>
      </c>
      <c r="I37">
        <v>900</v>
      </c>
      <c r="J37" s="38" t="s">
        <v>144</v>
      </c>
      <c r="K37" s="3"/>
    </row>
    <row r="38" spans="1:16" ht="15" thickBot="1">
      <c r="A38" s="3">
        <v>45818</v>
      </c>
      <c r="B38" t="s">
        <v>31</v>
      </c>
      <c r="C38" t="s">
        <v>32</v>
      </c>
      <c r="D38">
        <v>1</v>
      </c>
      <c r="E38">
        <v>1650</v>
      </c>
      <c r="F38">
        <f>Sale[[#This Row],[Rate]]*Sale[[#This Row],[Qty]]</f>
        <v>1650</v>
      </c>
      <c r="G38" t="s">
        <v>46</v>
      </c>
      <c r="H38">
        <v>240</v>
      </c>
      <c r="I38">
        <v>240</v>
      </c>
      <c r="J38" s="38" t="s">
        <v>144</v>
      </c>
      <c r="K38" s="3"/>
    </row>
    <row r="39" spans="1:16">
      <c r="A39" s="3">
        <v>45818</v>
      </c>
      <c r="B39" t="s">
        <v>8</v>
      </c>
      <c r="C39" t="s">
        <v>9</v>
      </c>
      <c r="D39">
        <v>1</v>
      </c>
      <c r="E39">
        <v>3120</v>
      </c>
      <c r="F39">
        <f>Sale[[#This Row],[Rate]]*Sale[[#This Row],[Qty]]</f>
        <v>3120</v>
      </c>
      <c r="G39" t="s">
        <v>46</v>
      </c>
      <c r="H39">
        <v>400</v>
      </c>
      <c r="I39">
        <v>400</v>
      </c>
      <c r="J39" s="38" t="s">
        <v>144</v>
      </c>
      <c r="K39" s="3"/>
      <c r="M39" s="42" t="s">
        <v>159</v>
      </c>
      <c r="N39" s="42"/>
    </row>
    <row r="40" spans="1:16">
      <c r="A40" s="3">
        <v>45819</v>
      </c>
      <c r="B40" t="s">
        <v>14</v>
      </c>
      <c r="C40" t="s">
        <v>15</v>
      </c>
      <c r="D40">
        <v>2</v>
      </c>
      <c r="E40">
        <v>5450</v>
      </c>
      <c r="F40">
        <f>Sale[[#This Row],[Rate]]*Sale[[#This Row],[Qty]]</f>
        <v>10900</v>
      </c>
      <c r="G40" t="s">
        <v>97</v>
      </c>
      <c r="H40">
        <v>1120</v>
      </c>
      <c r="I40">
        <v>2240</v>
      </c>
      <c r="J40" s="38" t="s">
        <v>144</v>
      </c>
      <c r="K40" s="3"/>
      <c r="M40" s="9" t="s">
        <v>0</v>
      </c>
    </row>
    <row r="41" spans="1:16">
      <c r="A41" s="3">
        <v>45819</v>
      </c>
      <c r="B41" t="s">
        <v>16</v>
      </c>
      <c r="C41" t="s">
        <v>17</v>
      </c>
      <c r="D41">
        <v>3</v>
      </c>
      <c r="E41">
        <v>3225</v>
      </c>
      <c r="F41">
        <f>Sale[[#This Row],[Rate]]*Sale[[#This Row],[Qty]]</f>
        <v>9675</v>
      </c>
      <c r="G41" t="s">
        <v>46</v>
      </c>
      <c r="H41">
        <v>494</v>
      </c>
      <c r="I41">
        <v>1482</v>
      </c>
      <c r="J41" s="38" t="s">
        <v>144</v>
      </c>
      <c r="K41" s="3"/>
      <c r="M41" t="s">
        <v>146</v>
      </c>
      <c r="N41">
        <v>45812.27536231884</v>
      </c>
    </row>
    <row r="42" spans="1:16">
      <c r="A42" s="3">
        <v>45820</v>
      </c>
      <c r="B42" t="s">
        <v>31</v>
      </c>
      <c r="C42" t="s">
        <v>32</v>
      </c>
      <c r="D42">
        <v>2</v>
      </c>
      <c r="E42">
        <v>1650</v>
      </c>
      <c r="F42">
        <f>Sale[[#This Row],[Rate]]*Sale[[#This Row],[Qty]]</f>
        <v>3300</v>
      </c>
      <c r="G42" t="s">
        <v>46</v>
      </c>
      <c r="H42">
        <v>240</v>
      </c>
      <c r="I42">
        <v>480</v>
      </c>
      <c r="J42" s="38" t="s">
        <v>144</v>
      </c>
      <c r="K42" s="3"/>
      <c r="M42" t="s">
        <v>147</v>
      </c>
      <c r="N42">
        <v>3.7643662896492294</v>
      </c>
    </row>
    <row r="43" spans="1:16">
      <c r="A43" s="3">
        <v>45823</v>
      </c>
      <c r="B43" t="s">
        <v>38</v>
      </c>
      <c r="C43" t="s">
        <v>38</v>
      </c>
      <c r="D43">
        <v>6</v>
      </c>
      <c r="E43">
        <v>950</v>
      </c>
      <c r="F43">
        <f>Sale[[#This Row],[Rate]]*Sale[[#This Row],[Qty]]</f>
        <v>5700</v>
      </c>
      <c r="G43" t="s">
        <v>46</v>
      </c>
      <c r="H43">
        <v>150</v>
      </c>
      <c r="I43">
        <v>900</v>
      </c>
      <c r="J43" s="38" t="s">
        <v>144</v>
      </c>
      <c r="K43" s="3"/>
      <c r="M43" t="s">
        <v>148</v>
      </c>
      <c r="N43">
        <v>45817</v>
      </c>
    </row>
    <row r="44" spans="1:16">
      <c r="A44" s="3">
        <v>45824</v>
      </c>
      <c r="B44" s="18" t="s">
        <v>23</v>
      </c>
      <c r="C44" s="18" t="s">
        <v>24</v>
      </c>
      <c r="D44">
        <v>1</v>
      </c>
      <c r="E44">
        <v>3600</v>
      </c>
      <c r="F44">
        <f>Sale[[#This Row],[Rate]]*Sale[[#This Row],[Qty]]</f>
        <v>3600</v>
      </c>
      <c r="G44" t="s">
        <v>46</v>
      </c>
      <c r="H44">
        <v>525</v>
      </c>
      <c r="I44">
        <v>525</v>
      </c>
      <c r="J44" s="38" t="s">
        <v>144</v>
      </c>
      <c r="K44" s="3"/>
      <c r="M44" t="s">
        <v>149</v>
      </c>
      <c r="N44">
        <v>45817</v>
      </c>
    </row>
    <row r="45" spans="1:16">
      <c r="A45" s="3">
        <v>45824</v>
      </c>
      <c r="B45" t="s">
        <v>35</v>
      </c>
      <c r="C45" t="s">
        <v>36</v>
      </c>
      <c r="D45">
        <v>12.55</v>
      </c>
      <c r="E45">
        <v>1200</v>
      </c>
      <c r="F45">
        <f>Sale[[#This Row],[Rate]]*Sale[[#This Row],[Qty]]</f>
        <v>15060</v>
      </c>
      <c r="G45" t="s">
        <v>46</v>
      </c>
      <c r="H45">
        <v>150</v>
      </c>
      <c r="I45">
        <v>1882.5</v>
      </c>
      <c r="J45" s="38" t="s">
        <v>144</v>
      </c>
      <c r="K45" s="3"/>
      <c r="M45" t="s">
        <v>150</v>
      </c>
      <c r="N45">
        <v>31.269174850364664</v>
      </c>
    </row>
    <row r="46" spans="1:16">
      <c r="A46" s="3">
        <v>45824</v>
      </c>
      <c r="B46" t="s">
        <v>12</v>
      </c>
      <c r="C46" t="s">
        <v>13</v>
      </c>
      <c r="D46">
        <v>4</v>
      </c>
      <c r="E46">
        <v>1015</v>
      </c>
      <c r="F46">
        <f>Sale[[#This Row],[Rate]]*Sale[[#This Row],[Qty]]</f>
        <v>4060</v>
      </c>
      <c r="G46" t="s">
        <v>47</v>
      </c>
      <c r="H46">
        <v>135</v>
      </c>
      <c r="I46">
        <v>540</v>
      </c>
      <c r="J46" s="38" t="s">
        <v>144</v>
      </c>
      <c r="K46" s="3"/>
      <c r="M46" t="s">
        <v>151</v>
      </c>
      <c r="N46">
        <v>977.76129582267799</v>
      </c>
    </row>
    <row r="47" spans="1:16">
      <c r="A47" s="3">
        <v>45824</v>
      </c>
      <c r="B47" t="s">
        <v>31</v>
      </c>
      <c r="C47" t="s">
        <v>32</v>
      </c>
      <c r="D47">
        <v>1</v>
      </c>
      <c r="E47">
        <v>1650</v>
      </c>
      <c r="F47">
        <f>Sale[[#This Row],[Rate]]*Sale[[#This Row],[Qty]]</f>
        <v>1650</v>
      </c>
      <c r="G47" t="s">
        <v>47</v>
      </c>
      <c r="H47">
        <v>240</v>
      </c>
      <c r="I47">
        <v>240</v>
      </c>
      <c r="J47" s="38" t="s">
        <v>144</v>
      </c>
      <c r="K47" s="3"/>
      <c r="M47" t="s">
        <v>152</v>
      </c>
      <c r="N47">
        <v>-0.63940433586495704</v>
      </c>
    </row>
    <row r="48" spans="1:16">
      <c r="A48" s="3">
        <v>45828</v>
      </c>
      <c r="B48" t="s">
        <v>35</v>
      </c>
      <c r="C48" t="s">
        <v>36</v>
      </c>
      <c r="D48">
        <v>12.55</v>
      </c>
      <c r="E48">
        <v>1200</v>
      </c>
      <c r="F48">
        <f>Sale[[#This Row],[Rate]]*Sale[[#This Row],[Qty]]</f>
        <v>15060</v>
      </c>
      <c r="G48" t="s">
        <v>46</v>
      </c>
      <c r="H48">
        <v>150</v>
      </c>
      <c r="I48">
        <v>1882.5</v>
      </c>
      <c r="J48" s="38" t="s">
        <v>144</v>
      </c>
      <c r="K48" s="3"/>
      <c r="M48" t="s">
        <v>153</v>
      </c>
      <c r="N48">
        <v>-0.37727046680339338</v>
      </c>
    </row>
    <row r="49" spans="1:14">
      <c r="A49" s="3">
        <v>45828</v>
      </c>
      <c r="B49" s="18" t="s">
        <v>27</v>
      </c>
      <c r="C49" s="18" t="s">
        <v>28</v>
      </c>
      <c r="D49">
        <v>1</v>
      </c>
      <c r="E49">
        <v>750</v>
      </c>
      <c r="F49">
        <f>Sale[[#This Row],[Rate]]*Sale[[#This Row],[Qty]]</f>
        <v>750</v>
      </c>
      <c r="G49" t="s">
        <v>46</v>
      </c>
      <c r="H49">
        <v>47</v>
      </c>
      <c r="I49">
        <v>47</v>
      </c>
      <c r="J49" s="38" t="s">
        <v>144</v>
      </c>
      <c r="K49" s="3"/>
      <c r="M49" t="s">
        <v>154</v>
      </c>
      <c r="N49">
        <v>118</v>
      </c>
    </row>
    <row r="50" spans="1:14">
      <c r="A50" s="3">
        <v>45828</v>
      </c>
      <c r="B50" s="18" t="s">
        <v>23</v>
      </c>
      <c r="C50" s="18" t="s">
        <v>24</v>
      </c>
      <c r="D50">
        <v>1</v>
      </c>
      <c r="E50">
        <v>3600</v>
      </c>
      <c r="F50">
        <f>Sale[[#This Row],[Rate]]*Sale[[#This Row],[Qty]]</f>
        <v>3600</v>
      </c>
      <c r="G50" t="s">
        <v>46</v>
      </c>
      <c r="H50">
        <v>525</v>
      </c>
      <c r="I50">
        <v>525</v>
      </c>
      <c r="J50" s="38" t="s">
        <v>144</v>
      </c>
      <c r="K50" s="3"/>
      <c r="M50" t="s">
        <v>155</v>
      </c>
      <c r="N50">
        <v>45749</v>
      </c>
    </row>
    <row r="51" spans="1:14">
      <c r="A51" s="3">
        <v>45828</v>
      </c>
      <c r="B51" t="s">
        <v>8</v>
      </c>
      <c r="C51" t="s">
        <v>9</v>
      </c>
      <c r="D51">
        <v>1</v>
      </c>
      <c r="E51">
        <v>3120</v>
      </c>
      <c r="F51">
        <f>Sale[[#This Row],[Rate]]*Sale[[#This Row],[Qty]]</f>
        <v>3120</v>
      </c>
      <c r="G51" t="s">
        <v>47</v>
      </c>
      <c r="H51">
        <v>400</v>
      </c>
      <c r="I51">
        <v>400</v>
      </c>
      <c r="J51" s="38" t="s">
        <v>144</v>
      </c>
      <c r="K51" s="3"/>
      <c r="M51" t="s">
        <v>156</v>
      </c>
      <c r="N51">
        <v>45867</v>
      </c>
    </row>
    <row r="52" spans="1:14">
      <c r="A52" s="3">
        <v>45835</v>
      </c>
      <c r="B52" t="s">
        <v>16</v>
      </c>
      <c r="C52" t="s">
        <v>17</v>
      </c>
      <c r="D52">
        <v>3</v>
      </c>
      <c r="E52">
        <v>3225</v>
      </c>
      <c r="F52">
        <f>Sale[[#This Row],[Rate]]*Sale[[#This Row],[Qty]]</f>
        <v>9675</v>
      </c>
      <c r="G52" t="s">
        <v>46</v>
      </c>
      <c r="H52">
        <v>494</v>
      </c>
      <c r="I52">
        <v>1482</v>
      </c>
      <c r="J52" s="38" t="s">
        <v>144</v>
      </c>
      <c r="K52" s="3"/>
      <c r="M52" t="s">
        <v>157</v>
      </c>
      <c r="N52">
        <v>3161047</v>
      </c>
    </row>
    <row r="53" spans="1:14" ht="15" thickBot="1">
      <c r="A53" s="3">
        <v>45835</v>
      </c>
      <c r="B53" t="s">
        <v>41</v>
      </c>
      <c r="C53" t="s">
        <v>42</v>
      </c>
      <c r="D53">
        <v>3</v>
      </c>
      <c r="E53">
        <v>850</v>
      </c>
      <c r="F53">
        <f>Sale[[#This Row],[Rate]]*Sale[[#This Row],[Qty]]</f>
        <v>2550</v>
      </c>
      <c r="G53" t="s">
        <v>46</v>
      </c>
      <c r="H53">
        <v>93</v>
      </c>
      <c r="I53">
        <v>279</v>
      </c>
      <c r="J53" s="38" t="s">
        <v>144</v>
      </c>
      <c r="K53" s="3"/>
      <c r="M53" s="40" t="s">
        <v>158</v>
      </c>
      <c r="N53" s="40">
        <v>69</v>
      </c>
    </row>
    <row r="54" spans="1:14">
      <c r="A54" s="3">
        <v>45838</v>
      </c>
      <c r="B54" t="s">
        <v>14</v>
      </c>
      <c r="C54" t="s">
        <v>15</v>
      </c>
      <c r="D54">
        <v>1</v>
      </c>
      <c r="E54">
        <v>5450</v>
      </c>
      <c r="F54">
        <f>Sale[[#This Row],[Rate]]*Sale[[#This Row],[Qty]]</f>
        <v>5450</v>
      </c>
      <c r="G54" t="s">
        <v>46</v>
      </c>
      <c r="H54">
        <v>1120</v>
      </c>
      <c r="I54">
        <v>1120</v>
      </c>
      <c r="J54" s="38" t="s">
        <v>144</v>
      </c>
      <c r="K54" s="3"/>
    </row>
    <row r="55" spans="1:14">
      <c r="A55" s="3">
        <v>45841</v>
      </c>
      <c r="B55" t="s">
        <v>41</v>
      </c>
      <c r="C55" t="s">
        <v>42</v>
      </c>
      <c r="D55">
        <v>1</v>
      </c>
      <c r="E55">
        <v>850</v>
      </c>
      <c r="F55">
        <f>Sale[[#This Row],[Rate]]*Sale[[#This Row],[Qty]]</f>
        <v>850</v>
      </c>
      <c r="G55" t="s">
        <v>46</v>
      </c>
      <c r="H55">
        <v>93</v>
      </c>
      <c r="I55">
        <v>93</v>
      </c>
      <c r="J55" s="38" t="s">
        <v>145</v>
      </c>
      <c r="K55" s="3"/>
    </row>
    <row r="56" spans="1:14">
      <c r="A56" s="3">
        <v>45843</v>
      </c>
      <c r="B56" t="s">
        <v>38</v>
      </c>
      <c r="C56" t="s">
        <v>38</v>
      </c>
      <c r="D56">
        <v>6</v>
      </c>
      <c r="E56">
        <v>950</v>
      </c>
      <c r="F56">
        <f>Sale[[#This Row],[Rate]]*Sale[[#This Row],[Qty]]</f>
        <v>5700</v>
      </c>
      <c r="G56" t="s">
        <v>47</v>
      </c>
      <c r="H56">
        <v>150</v>
      </c>
      <c r="I56">
        <v>900</v>
      </c>
      <c r="J56" s="38" t="s">
        <v>145</v>
      </c>
      <c r="K56" s="3"/>
    </row>
    <row r="57" spans="1:14">
      <c r="A57" s="3">
        <v>45845</v>
      </c>
      <c r="B57" t="s">
        <v>23</v>
      </c>
      <c r="C57" t="s">
        <v>24</v>
      </c>
      <c r="D57">
        <v>5</v>
      </c>
      <c r="E57">
        <v>3600</v>
      </c>
      <c r="F57">
        <f>Sale[[#This Row],[Rate]]*Sale[[#This Row],[Qty]]</f>
        <v>18000</v>
      </c>
      <c r="G57" t="s">
        <v>46</v>
      </c>
      <c r="H57">
        <v>525</v>
      </c>
      <c r="I57">
        <v>2625</v>
      </c>
      <c r="J57" s="38" t="s">
        <v>145</v>
      </c>
      <c r="K57" s="3"/>
    </row>
    <row r="58" spans="1:14">
      <c r="A58" s="3">
        <v>45845</v>
      </c>
      <c r="B58" t="s">
        <v>25</v>
      </c>
      <c r="C58" t="s">
        <v>26</v>
      </c>
      <c r="D58">
        <v>2</v>
      </c>
      <c r="E58">
        <v>985</v>
      </c>
      <c r="F58">
        <f>Sale[[#This Row],[Rate]]*Sale[[#This Row],[Qty]]</f>
        <v>1970</v>
      </c>
      <c r="G58" t="s">
        <v>46</v>
      </c>
      <c r="H58">
        <v>95</v>
      </c>
      <c r="I58">
        <v>190</v>
      </c>
      <c r="J58" s="38" t="s">
        <v>145</v>
      </c>
      <c r="K58" s="3"/>
    </row>
    <row r="59" spans="1:14">
      <c r="A59" s="3">
        <v>45846</v>
      </c>
      <c r="B59" t="s">
        <v>10</v>
      </c>
      <c r="C59" t="s">
        <v>11</v>
      </c>
      <c r="D59">
        <v>2</v>
      </c>
      <c r="E59">
        <v>4540</v>
      </c>
      <c r="F59">
        <f>Sale[[#This Row],[Rate]]*Sale[[#This Row],[Qty]]</f>
        <v>9080</v>
      </c>
      <c r="G59" t="s">
        <v>97</v>
      </c>
      <c r="H59">
        <v>810</v>
      </c>
      <c r="I59">
        <v>1620</v>
      </c>
      <c r="J59" s="38" t="s">
        <v>145</v>
      </c>
      <c r="K59" s="3"/>
    </row>
    <row r="60" spans="1:14">
      <c r="A60" s="3">
        <v>45847</v>
      </c>
      <c r="B60" t="s">
        <v>14</v>
      </c>
      <c r="C60" t="s">
        <v>15</v>
      </c>
      <c r="D60">
        <v>2</v>
      </c>
      <c r="E60">
        <v>5450</v>
      </c>
      <c r="F60">
        <f>Sale[[#This Row],[Rate]]*Sale[[#This Row],[Qty]]</f>
        <v>10900</v>
      </c>
      <c r="G60" t="s">
        <v>46</v>
      </c>
      <c r="H60">
        <v>1120</v>
      </c>
      <c r="I60">
        <v>2240</v>
      </c>
      <c r="J60" s="38" t="s">
        <v>145</v>
      </c>
      <c r="K60" s="3"/>
    </row>
    <row r="61" spans="1:14">
      <c r="A61" s="3">
        <v>45849</v>
      </c>
      <c r="B61" t="s">
        <v>25</v>
      </c>
      <c r="C61" t="s">
        <v>26</v>
      </c>
      <c r="D61">
        <v>1</v>
      </c>
      <c r="E61">
        <v>985</v>
      </c>
      <c r="F61">
        <f>Sale[[#This Row],[Rate]]*Sale[[#This Row],[Qty]]</f>
        <v>985</v>
      </c>
      <c r="G61" t="s">
        <v>47</v>
      </c>
      <c r="H61">
        <v>95</v>
      </c>
      <c r="I61">
        <v>95</v>
      </c>
      <c r="J61" s="38" t="s">
        <v>145</v>
      </c>
      <c r="K61" s="3"/>
    </row>
    <row r="62" spans="1:14">
      <c r="A62" s="3">
        <v>45850</v>
      </c>
      <c r="B62" t="s">
        <v>10</v>
      </c>
      <c r="C62" t="s">
        <v>11</v>
      </c>
      <c r="D62">
        <v>1</v>
      </c>
      <c r="E62">
        <v>4540</v>
      </c>
      <c r="F62">
        <f>Sale[[#This Row],[Rate]]*Sale[[#This Row],[Qty]]</f>
        <v>4540</v>
      </c>
      <c r="G62" t="s">
        <v>46</v>
      </c>
      <c r="H62">
        <v>810</v>
      </c>
      <c r="I62">
        <v>810</v>
      </c>
      <c r="J62" s="38" t="s">
        <v>145</v>
      </c>
      <c r="K62" s="3"/>
    </row>
    <row r="63" spans="1:14">
      <c r="A63" s="3">
        <v>45850</v>
      </c>
      <c r="B63" t="s">
        <v>6</v>
      </c>
      <c r="C63" t="s">
        <v>7</v>
      </c>
      <c r="D63">
        <v>6</v>
      </c>
      <c r="E63">
        <v>710</v>
      </c>
      <c r="F63">
        <f>Sale[[#This Row],[Rate]]*Sale[[#This Row],[Qty]]</f>
        <v>4260</v>
      </c>
      <c r="G63" t="s">
        <v>47</v>
      </c>
      <c r="H63">
        <v>85</v>
      </c>
      <c r="I63">
        <v>510</v>
      </c>
      <c r="J63" s="38" t="s">
        <v>145</v>
      </c>
      <c r="K63" s="3"/>
    </row>
    <row r="64" spans="1:14">
      <c r="A64" s="3">
        <v>45850</v>
      </c>
      <c r="B64" t="s">
        <v>21</v>
      </c>
      <c r="C64" t="s">
        <v>22</v>
      </c>
      <c r="D64">
        <v>1</v>
      </c>
      <c r="E64">
        <v>4525</v>
      </c>
      <c r="F64">
        <f>Sale[[#This Row],[Rate]]*Sale[[#This Row],[Qty]]</f>
        <v>4525</v>
      </c>
      <c r="G64" t="s">
        <v>47</v>
      </c>
      <c r="H64">
        <v>965</v>
      </c>
      <c r="I64">
        <v>965</v>
      </c>
      <c r="J64" s="38" t="s">
        <v>145</v>
      </c>
      <c r="K64" s="3"/>
    </row>
    <row r="65" spans="1:11">
      <c r="A65" s="3">
        <v>45855</v>
      </c>
      <c r="B65" t="s">
        <v>21</v>
      </c>
      <c r="C65" t="s">
        <v>22</v>
      </c>
      <c r="D65">
        <v>3</v>
      </c>
      <c r="E65">
        <v>4525</v>
      </c>
      <c r="F65">
        <f>Sale[[#This Row],[Rate]]*Sale[[#This Row],[Qty]]</f>
        <v>13575</v>
      </c>
      <c r="G65" t="s">
        <v>46</v>
      </c>
      <c r="H65">
        <v>965</v>
      </c>
      <c r="I65">
        <v>2895</v>
      </c>
      <c r="J65" s="38" t="s">
        <v>145</v>
      </c>
      <c r="K65" s="3"/>
    </row>
    <row r="66" spans="1:11">
      <c r="A66" s="3">
        <v>45855</v>
      </c>
      <c r="B66" t="s">
        <v>33</v>
      </c>
      <c r="C66" t="s">
        <v>34</v>
      </c>
      <c r="D66">
        <v>4</v>
      </c>
      <c r="E66">
        <v>623</v>
      </c>
      <c r="F66">
        <f>Sale[[#This Row],[Rate]]*Sale[[#This Row],[Qty]]</f>
        <v>2492</v>
      </c>
      <c r="G66" t="s">
        <v>97</v>
      </c>
      <c r="H66">
        <v>83</v>
      </c>
      <c r="I66">
        <v>332</v>
      </c>
      <c r="J66" s="38" t="s">
        <v>145</v>
      </c>
      <c r="K66" s="3"/>
    </row>
    <row r="67" spans="1:11">
      <c r="A67" s="3">
        <v>45858</v>
      </c>
      <c r="B67" t="s">
        <v>8</v>
      </c>
      <c r="C67" t="s">
        <v>9</v>
      </c>
      <c r="D67">
        <v>1</v>
      </c>
      <c r="E67">
        <v>3120</v>
      </c>
      <c r="F67">
        <f>Sale[[#This Row],[Rate]]*Sale[[#This Row],[Qty]]</f>
        <v>3120</v>
      </c>
      <c r="G67" t="s">
        <v>47</v>
      </c>
      <c r="H67">
        <v>400</v>
      </c>
      <c r="I67">
        <v>400</v>
      </c>
      <c r="J67" s="38" t="s">
        <v>145</v>
      </c>
      <c r="K67" s="3"/>
    </row>
    <row r="68" spans="1:11">
      <c r="A68" s="3">
        <v>45858</v>
      </c>
      <c r="B68" t="s">
        <v>12</v>
      </c>
      <c r="C68" t="s">
        <v>13</v>
      </c>
      <c r="D68">
        <v>2</v>
      </c>
      <c r="E68">
        <v>1015</v>
      </c>
      <c r="F68">
        <f>Sale[[#This Row],[Rate]]*Sale[[#This Row],[Qty]]</f>
        <v>2030</v>
      </c>
      <c r="G68" t="s">
        <v>47</v>
      </c>
      <c r="H68">
        <v>135</v>
      </c>
      <c r="I68">
        <v>270</v>
      </c>
      <c r="J68" s="38" t="s">
        <v>145</v>
      </c>
      <c r="K68" s="3"/>
    </row>
    <row r="69" spans="1:11">
      <c r="A69" s="3">
        <v>45863</v>
      </c>
      <c r="B69" t="s">
        <v>6</v>
      </c>
      <c r="C69" t="s">
        <v>7</v>
      </c>
      <c r="D69">
        <v>6</v>
      </c>
      <c r="E69">
        <v>710</v>
      </c>
      <c r="F69">
        <f>Sale[[#This Row],[Rate]]*Sale[[#This Row],[Qty]]</f>
        <v>4260</v>
      </c>
      <c r="G69" t="s">
        <v>46</v>
      </c>
      <c r="H69">
        <v>85</v>
      </c>
      <c r="I69">
        <v>510</v>
      </c>
      <c r="J69" s="38" t="s">
        <v>145</v>
      </c>
      <c r="K69" s="3"/>
    </row>
    <row r="70" spans="1:11">
      <c r="A70" s="3">
        <v>45867</v>
      </c>
      <c r="B70" t="s">
        <v>33</v>
      </c>
      <c r="C70" t="s">
        <v>34</v>
      </c>
      <c r="D70">
        <v>4</v>
      </c>
      <c r="E70">
        <v>623</v>
      </c>
      <c r="F70">
        <f>Sale[[#This Row],[Rate]]*Sale[[#This Row],[Qty]]</f>
        <v>2492</v>
      </c>
      <c r="G70" t="s">
        <v>46</v>
      </c>
      <c r="H70">
        <v>83</v>
      </c>
      <c r="I70">
        <v>332</v>
      </c>
      <c r="J70" s="38" t="s">
        <v>145</v>
      </c>
      <c r="K70" s="3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A24D-7BC7-4B4D-B32D-FA7C06476008}">
  <dimension ref="A1:Z23"/>
  <sheetViews>
    <sheetView zoomScaleNormal="100" workbookViewId="0">
      <selection activeCell="N2" sqref="N2:N13"/>
    </sheetView>
  </sheetViews>
  <sheetFormatPr defaultRowHeight="14.4"/>
  <cols>
    <col min="1" max="1" width="11.21875" style="3" bestFit="1" customWidth="1"/>
    <col min="8" max="8" width="11.88671875" bestFit="1" customWidth="1"/>
    <col min="9" max="9" width="8.6640625" customWidth="1"/>
    <col min="11" max="11" width="9.88671875" bestFit="1" customWidth="1"/>
    <col min="16" max="16" width="12.6640625" bestFit="1" customWidth="1"/>
  </cols>
  <sheetData>
    <row r="1" spans="1:26" ht="57.6">
      <c r="A1" s="21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108</v>
      </c>
      <c r="G1" s="6" t="s">
        <v>111</v>
      </c>
      <c r="H1" s="23" t="s">
        <v>123</v>
      </c>
      <c r="I1" s="6" t="s">
        <v>109</v>
      </c>
      <c r="J1" s="6" t="s">
        <v>106</v>
      </c>
      <c r="K1" s="6" t="s">
        <v>107</v>
      </c>
      <c r="L1" s="6" t="s">
        <v>73</v>
      </c>
      <c r="M1" s="6" t="s">
        <v>74</v>
      </c>
      <c r="N1" s="6" t="s">
        <v>75</v>
      </c>
      <c r="O1" s="6" t="s">
        <v>76</v>
      </c>
      <c r="P1" s="6" t="s">
        <v>77</v>
      </c>
      <c r="Q1" s="6" t="s">
        <v>78</v>
      </c>
      <c r="R1" s="6" t="s">
        <v>79</v>
      </c>
      <c r="S1" s="6" t="s">
        <v>120</v>
      </c>
      <c r="T1" s="23" t="s">
        <v>138</v>
      </c>
      <c r="U1" s="9"/>
      <c r="V1" s="14" t="s">
        <v>1</v>
      </c>
      <c r="W1" s="14" t="s">
        <v>2</v>
      </c>
      <c r="X1" s="14" t="s">
        <v>51</v>
      </c>
      <c r="Y1" s="14" t="s">
        <v>52</v>
      </c>
      <c r="Z1" s="14" t="s">
        <v>53</v>
      </c>
    </row>
    <row r="2" spans="1:26">
      <c r="A2" s="20">
        <v>45752</v>
      </c>
      <c r="B2" s="7" t="s">
        <v>80</v>
      </c>
      <c r="C2" s="7" t="s">
        <v>99</v>
      </c>
      <c r="D2" s="7" t="s">
        <v>18</v>
      </c>
      <c r="E2" s="18">
        <v>2923</v>
      </c>
      <c r="F2" s="18">
        <v>3250</v>
      </c>
      <c r="G2" s="18">
        <v>0</v>
      </c>
      <c r="H2" s="18">
        <v>700</v>
      </c>
      <c r="I2" s="18">
        <v>0</v>
      </c>
      <c r="J2" s="7">
        <v>3500</v>
      </c>
      <c r="K2" s="7">
        <v>2700</v>
      </c>
      <c r="L2" s="7">
        <v>1000</v>
      </c>
      <c r="M2" s="7">
        <f>E2+J2+K2+L2+F2+I2+H2+G2</f>
        <v>14073</v>
      </c>
      <c r="N2" s="7">
        <v>17100</v>
      </c>
      <c r="O2" s="7">
        <f>N2-M2</f>
        <v>3027</v>
      </c>
      <c r="P2" s="22">
        <f>(O2/M2)*100</f>
        <v>21.509273076103177</v>
      </c>
      <c r="Q2" s="7" t="s">
        <v>47</v>
      </c>
      <c r="R2" s="7" t="s">
        <v>81</v>
      </c>
      <c r="S2">
        <v>443</v>
      </c>
      <c r="T2">
        <f>O2-S2</f>
        <v>2584</v>
      </c>
      <c r="V2" s="15" t="s">
        <v>18</v>
      </c>
      <c r="W2" s="15" t="s">
        <v>19</v>
      </c>
      <c r="X2" s="15">
        <v>2480</v>
      </c>
      <c r="Y2" s="15">
        <v>2923</v>
      </c>
      <c r="Z2" s="15">
        <f t="shared" ref="Z2:Z22" si="0">Y2-X2</f>
        <v>443</v>
      </c>
    </row>
    <row r="3" spans="1:26" ht="57.6">
      <c r="A3" s="20">
        <v>45766</v>
      </c>
      <c r="B3" s="7" t="s">
        <v>82</v>
      </c>
      <c r="C3" s="7" t="s">
        <v>112</v>
      </c>
      <c r="D3" s="7" t="s">
        <v>113</v>
      </c>
      <c r="E3" s="7">
        <v>3975</v>
      </c>
      <c r="F3" s="7">
        <v>0</v>
      </c>
      <c r="G3" s="7">
        <v>2657</v>
      </c>
      <c r="H3" s="7"/>
      <c r="I3" s="7">
        <v>3200</v>
      </c>
      <c r="J3" s="7">
        <v>4500</v>
      </c>
      <c r="K3" s="7">
        <v>3200</v>
      </c>
      <c r="L3" s="7">
        <v>2500</v>
      </c>
      <c r="M3" s="7">
        <f t="shared" ref="M3:M13" si="1">E3+J3+K3+L3+F3+I3+H3+G3</f>
        <v>20032</v>
      </c>
      <c r="N3" s="7">
        <v>23500</v>
      </c>
      <c r="O3" s="7">
        <f t="shared" ref="O3:O13" si="2">N3-M3</f>
        <v>3468</v>
      </c>
      <c r="P3" s="22">
        <f t="shared" ref="P3:P13" si="3">(O3/M3)*100</f>
        <v>17.31230031948882</v>
      </c>
      <c r="Q3" s="7" t="s">
        <v>47</v>
      </c>
      <c r="R3" s="7" t="s">
        <v>83</v>
      </c>
      <c r="S3">
        <f>Z18+Z9</f>
        <v>541</v>
      </c>
      <c r="T3">
        <f t="shared" ref="T3:T13" si="4">O3-S3</f>
        <v>2927</v>
      </c>
      <c r="V3" s="15" t="s">
        <v>29</v>
      </c>
      <c r="W3" s="15" t="s">
        <v>30</v>
      </c>
      <c r="X3" s="15">
        <v>1275</v>
      </c>
      <c r="Y3" s="15">
        <v>1425</v>
      </c>
      <c r="Z3" s="15">
        <f t="shared" si="0"/>
        <v>150</v>
      </c>
    </row>
    <row r="4" spans="1:26" ht="28.8">
      <c r="A4" s="20">
        <v>45790</v>
      </c>
      <c r="B4" s="7" t="s">
        <v>84</v>
      </c>
      <c r="C4" s="7" t="s">
        <v>121</v>
      </c>
      <c r="D4" s="7" t="s">
        <v>67</v>
      </c>
      <c r="E4" s="7">
        <v>4200</v>
      </c>
      <c r="F4" s="7">
        <v>0</v>
      </c>
      <c r="G4" s="7">
        <v>0</v>
      </c>
      <c r="H4" s="7">
        <v>0</v>
      </c>
      <c r="I4" s="7">
        <v>0</v>
      </c>
      <c r="J4" s="7">
        <v>3000</v>
      </c>
      <c r="K4" s="7">
        <v>2500</v>
      </c>
      <c r="L4" s="7">
        <v>1200</v>
      </c>
      <c r="M4" s="7">
        <f t="shared" si="1"/>
        <v>10900</v>
      </c>
      <c r="N4" s="7">
        <v>13500</v>
      </c>
      <c r="O4" s="7">
        <f t="shared" si="2"/>
        <v>2600</v>
      </c>
      <c r="P4" s="22">
        <f t="shared" si="3"/>
        <v>23.853211009174313</v>
      </c>
      <c r="Q4" s="7" t="s">
        <v>47</v>
      </c>
      <c r="R4" s="7" t="s">
        <v>81</v>
      </c>
      <c r="S4">
        <f>Z13</f>
        <v>95</v>
      </c>
      <c r="T4">
        <f t="shared" si="4"/>
        <v>2505</v>
      </c>
      <c r="V4" s="15" t="s">
        <v>21</v>
      </c>
      <c r="W4" s="15" t="s">
        <v>22</v>
      </c>
      <c r="X4" s="15">
        <v>3560</v>
      </c>
      <c r="Y4" s="15">
        <v>4525</v>
      </c>
      <c r="Z4" s="15">
        <f t="shared" si="0"/>
        <v>965</v>
      </c>
    </row>
    <row r="5" spans="1:26">
      <c r="A5" s="20">
        <v>45804</v>
      </c>
      <c r="B5" s="7" t="s">
        <v>85</v>
      </c>
      <c r="C5" s="7" t="s">
        <v>100</v>
      </c>
      <c r="D5" s="7" t="s">
        <v>21</v>
      </c>
      <c r="E5" s="7">
        <v>4525</v>
      </c>
      <c r="F5" s="7">
        <v>3750</v>
      </c>
      <c r="G5" s="7">
        <v>0</v>
      </c>
      <c r="H5" s="7">
        <v>700</v>
      </c>
      <c r="I5" s="7">
        <v>0</v>
      </c>
      <c r="J5" s="7">
        <v>4000</v>
      </c>
      <c r="K5" s="7">
        <v>3500</v>
      </c>
      <c r="L5" s="7">
        <v>1500</v>
      </c>
      <c r="M5" s="7">
        <f t="shared" si="1"/>
        <v>17975</v>
      </c>
      <c r="N5" s="7">
        <v>21900</v>
      </c>
      <c r="O5" s="7">
        <f t="shared" si="2"/>
        <v>3925</v>
      </c>
      <c r="P5" s="22">
        <f t="shared" si="3"/>
        <v>21.835883171070932</v>
      </c>
      <c r="Q5" s="7" t="s">
        <v>47</v>
      </c>
      <c r="R5" s="7" t="s">
        <v>81</v>
      </c>
      <c r="S5">
        <f>Z4</f>
        <v>965</v>
      </c>
      <c r="T5">
        <f t="shared" si="4"/>
        <v>2960</v>
      </c>
      <c r="V5" s="15" t="s">
        <v>31</v>
      </c>
      <c r="W5" s="15" t="s">
        <v>32</v>
      </c>
      <c r="X5" s="15">
        <v>1410</v>
      </c>
      <c r="Y5" s="15">
        <v>1650</v>
      </c>
      <c r="Z5" s="15">
        <f t="shared" si="0"/>
        <v>240</v>
      </c>
    </row>
    <row r="6" spans="1:26" ht="57.6">
      <c r="A6" s="20">
        <v>45829</v>
      </c>
      <c r="B6" s="7" t="s">
        <v>86</v>
      </c>
      <c r="C6" s="7" t="s">
        <v>114</v>
      </c>
      <c r="D6" s="7" t="s">
        <v>87</v>
      </c>
      <c r="E6" s="7">
        <v>5390</v>
      </c>
      <c r="F6" s="7">
        <v>0</v>
      </c>
      <c r="G6" s="7">
        <v>2825</v>
      </c>
      <c r="H6" s="7">
        <v>0</v>
      </c>
      <c r="I6" s="7">
        <v>3500</v>
      </c>
      <c r="J6" s="7">
        <v>3500</v>
      </c>
      <c r="K6" s="7">
        <v>4000</v>
      </c>
      <c r="L6" s="7">
        <v>1500</v>
      </c>
      <c r="M6" s="7">
        <f t="shared" si="1"/>
        <v>20715</v>
      </c>
      <c r="N6" s="7">
        <v>24500</v>
      </c>
      <c r="O6" s="7">
        <f t="shared" si="2"/>
        <v>3785</v>
      </c>
      <c r="P6" s="22">
        <f t="shared" si="3"/>
        <v>18.271783731595463</v>
      </c>
      <c r="Q6" s="7" t="s">
        <v>47</v>
      </c>
      <c r="R6" s="7" t="s">
        <v>83</v>
      </c>
      <c r="S6">
        <f>Z19+Z11</f>
        <v>903</v>
      </c>
      <c r="T6">
        <f t="shared" si="4"/>
        <v>2882</v>
      </c>
      <c r="V6" s="15" t="s">
        <v>8</v>
      </c>
      <c r="W6" s="15" t="s">
        <v>9</v>
      </c>
      <c r="X6" s="15">
        <v>2720</v>
      </c>
      <c r="Y6" s="15">
        <v>3120</v>
      </c>
      <c r="Z6" s="15">
        <f t="shared" si="0"/>
        <v>400</v>
      </c>
    </row>
    <row r="7" spans="1:26" ht="28.8">
      <c r="A7" s="20">
        <v>45833</v>
      </c>
      <c r="B7" s="7" t="s">
        <v>86</v>
      </c>
      <c r="C7" s="7" t="s">
        <v>105</v>
      </c>
      <c r="D7" s="7" t="s">
        <v>38</v>
      </c>
      <c r="E7" s="7">
        <v>3000</v>
      </c>
      <c r="F7" s="7">
        <v>0</v>
      </c>
      <c r="G7" s="7">
        <v>0</v>
      </c>
      <c r="H7" s="7">
        <v>0</v>
      </c>
      <c r="I7" s="7">
        <v>0</v>
      </c>
      <c r="J7" s="7">
        <v>1500</v>
      </c>
      <c r="K7" s="7">
        <v>2000</v>
      </c>
      <c r="L7" s="7">
        <v>500</v>
      </c>
      <c r="M7" s="7">
        <f t="shared" si="1"/>
        <v>7000</v>
      </c>
      <c r="N7" s="7">
        <v>8500</v>
      </c>
      <c r="O7" s="7">
        <f t="shared" si="2"/>
        <v>1500</v>
      </c>
      <c r="P7" s="22">
        <f t="shared" si="3"/>
        <v>21.428571428571427</v>
      </c>
      <c r="Q7" s="7" t="s">
        <v>47</v>
      </c>
      <c r="R7" s="7" t="s">
        <v>81</v>
      </c>
      <c r="S7">
        <f>Z7</f>
        <v>150</v>
      </c>
      <c r="T7">
        <f t="shared" si="4"/>
        <v>1350</v>
      </c>
      <c r="V7" s="15" t="s">
        <v>38</v>
      </c>
      <c r="W7" s="15" t="s">
        <v>38</v>
      </c>
      <c r="X7" s="15">
        <v>800</v>
      </c>
      <c r="Y7" s="15">
        <v>950</v>
      </c>
      <c r="Z7" s="15">
        <f t="shared" si="0"/>
        <v>150</v>
      </c>
    </row>
    <row r="8" spans="1:26" ht="57.6">
      <c r="A8" s="20">
        <v>45837</v>
      </c>
      <c r="B8" s="7" t="s">
        <v>88</v>
      </c>
      <c r="C8" s="7" t="s">
        <v>117</v>
      </c>
      <c r="D8" s="7" t="s">
        <v>110</v>
      </c>
      <c r="E8" s="7">
        <v>4650</v>
      </c>
      <c r="F8" s="7">
        <v>0</v>
      </c>
      <c r="G8" s="7">
        <v>2825</v>
      </c>
      <c r="H8" s="7">
        <v>0</v>
      </c>
      <c r="I8" s="7">
        <v>0</v>
      </c>
      <c r="J8" s="7">
        <v>3500</v>
      </c>
      <c r="K8" s="7">
        <v>2800</v>
      </c>
      <c r="L8" s="7">
        <v>1000</v>
      </c>
      <c r="M8" s="7">
        <f t="shared" si="1"/>
        <v>14775</v>
      </c>
      <c r="N8" s="7">
        <v>17100</v>
      </c>
      <c r="O8" s="7">
        <f t="shared" si="2"/>
        <v>2325</v>
      </c>
      <c r="P8" s="22">
        <f t="shared" si="3"/>
        <v>15.736040609137056</v>
      </c>
      <c r="Q8" s="7" t="s">
        <v>47</v>
      </c>
      <c r="R8" s="7" t="s">
        <v>89</v>
      </c>
      <c r="S8">
        <f>Z11+Z7</f>
        <v>243</v>
      </c>
      <c r="T8">
        <f t="shared" si="4"/>
        <v>2082</v>
      </c>
      <c r="V8" s="15" t="s">
        <v>20</v>
      </c>
      <c r="W8" s="15" t="s">
        <v>20</v>
      </c>
      <c r="X8" s="15">
        <v>651</v>
      </c>
      <c r="Y8" s="15">
        <v>725</v>
      </c>
      <c r="Z8" s="15">
        <f t="shared" si="0"/>
        <v>74</v>
      </c>
    </row>
    <row r="9" spans="1:26">
      <c r="A9" s="20">
        <v>45840</v>
      </c>
      <c r="B9" s="7" t="s">
        <v>90</v>
      </c>
      <c r="C9" s="7" t="s">
        <v>102</v>
      </c>
      <c r="D9" s="7" t="s">
        <v>4</v>
      </c>
      <c r="E9" s="7">
        <v>2950</v>
      </c>
      <c r="F9" s="7">
        <v>0</v>
      </c>
      <c r="G9" s="7">
        <v>0</v>
      </c>
      <c r="H9" s="7"/>
      <c r="I9" s="7">
        <v>3500</v>
      </c>
      <c r="J9" s="7">
        <v>2200</v>
      </c>
      <c r="K9" s="7">
        <v>2500</v>
      </c>
      <c r="L9" s="7">
        <v>1000</v>
      </c>
      <c r="M9" s="7">
        <f t="shared" si="1"/>
        <v>12150</v>
      </c>
      <c r="N9" s="7">
        <v>14500</v>
      </c>
      <c r="O9" s="7">
        <f t="shared" si="2"/>
        <v>2350</v>
      </c>
      <c r="P9" s="22">
        <f t="shared" si="3"/>
        <v>19.34156378600823</v>
      </c>
      <c r="Q9" s="7" t="s">
        <v>47</v>
      </c>
      <c r="R9" s="7" t="s">
        <v>81</v>
      </c>
      <c r="S9">
        <f>Z21</f>
        <v>264</v>
      </c>
      <c r="T9">
        <f t="shared" si="4"/>
        <v>2086</v>
      </c>
      <c r="V9" s="15" t="s">
        <v>27</v>
      </c>
      <c r="W9" s="15" t="s">
        <v>28</v>
      </c>
      <c r="X9" s="15">
        <v>703</v>
      </c>
      <c r="Y9" s="15">
        <v>750</v>
      </c>
      <c r="Z9" s="15">
        <f t="shared" si="0"/>
        <v>47</v>
      </c>
    </row>
    <row r="10" spans="1:26">
      <c r="A10" s="20">
        <v>45848</v>
      </c>
      <c r="B10" s="7" t="s">
        <v>91</v>
      </c>
      <c r="C10" s="7" t="s">
        <v>101</v>
      </c>
      <c r="D10" s="7" t="s">
        <v>8</v>
      </c>
      <c r="E10" s="7">
        <v>3120</v>
      </c>
      <c r="F10" s="7">
        <v>3250</v>
      </c>
      <c r="G10" s="7">
        <v>0</v>
      </c>
      <c r="H10" s="7">
        <v>700</v>
      </c>
      <c r="I10" s="7">
        <v>0</v>
      </c>
      <c r="J10" s="7">
        <v>3000</v>
      </c>
      <c r="K10" s="7">
        <v>2500</v>
      </c>
      <c r="L10" s="7">
        <v>1000</v>
      </c>
      <c r="M10" s="7">
        <f t="shared" si="1"/>
        <v>13570</v>
      </c>
      <c r="N10" s="7">
        <v>15900</v>
      </c>
      <c r="O10" s="7">
        <f t="shared" si="2"/>
        <v>2330</v>
      </c>
      <c r="P10" s="22">
        <f t="shared" si="3"/>
        <v>17.170228445099482</v>
      </c>
      <c r="Q10" s="7" t="s">
        <v>47</v>
      </c>
      <c r="R10" s="7" t="s">
        <v>81</v>
      </c>
      <c r="S10">
        <f>Z6</f>
        <v>400</v>
      </c>
      <c r="T10">
        <f t="shared" si="4"/>
        <v>1930</v>
      </c>
      <c r="V10" s="15" t="s">
        <v>12</v>
      </c>
      <c r="W10" s="15" t="s">
        <v>13</v>
      </c>
      <c r="X10" s="15">
        <v>880</v>
      </c>
      <c r="Y10" s="15">
        <v>1015</v>
      </c>
      <c r="Z10" s="15">
        <f t="shared" si="0"/>
        <v>135</v>
      </c>
    </row>
    <row r="11" spans="1:26" ht="28.8">
      <c r="A11" s="20">
        <v>45856</v>
      </c>
      <c r="B11" s="7" t="s">
        <v>92</v>
      </c>
      <c r="C11" s="7" t="s">
        <v>122</v>
      </c>
      <c r="D11" s="7" t="s">
        <v>6</v>
      </c>
      <c r="E11" s="7">
        <v>4260</v>
      </c>
      <c r="F11" s="7">
        <v>0</v>
      </c>
      <c r="G11" s="7">
        <v>0</v>
      </c>
      <c r="H11" s="7">
        <v>0</v>
      </c>
      <c r="I11" s="7">
        <v>0</v>
      </c>
      <c r="J11" s="7">
        <v>3500</v>
      </c>
      <c r="K11" s="7">
        <v>2500</v>
      </c>
      <c r="L11" s="7">
        <v>500</v>
      </c>
      <c r="M11" s="7">
        <f t="shared" si="1"/>
        <v>10760</v>
      </c>
      <c r="N11" s="7">
        <v>13100</v>
      </c>
      <c r="O11" s="7">
        <f t="shared" si="2"/>
        <v>2340</v>
      </c>
      <c r="P11" s="22">
        <f t="shared" si="3"/>
        <v>21.74721189591078</v>
      </c>
      <c r="Q11" s="7" t="s">
        <v>47</v>
      </c>
      <c r="R11" s="7" t="s">
        <v>81</v>
      </c>
      <c r="S11">
        <f>Z15</f>
        <v>85</v>
      </c>
      <c r="T11">
        <f t="shared" si="4"/>
        <v>2255</v>
      </c>
      <c r="V11" s="15" t="s">
        <v>41</v>
      </c>
      <c r="W11" s="15" t="s">
        <v>42</v>
      </c>
      <c r="X11" s="15">
        <v>757</v>
      </c>
      <c r="Y11" s="15">
        <v>850</v>
      </c>
      <c r="Z11" s="15">
        <f t="shared" si="0"/>
        <v>93</v>
      </c>
    </row>
    <row r="12" spans="1:26" ht="57.6">
      <c r="A12" s="20">
        <v>45865</v>
      </c>
      <c r="B12" s="7" t="s">
        <v>93</v>
      </c>
      <c r="C12" s="7" t="s">
        <v>118</v>
      </c>
      <c r="D12" s="7" t="s">
        <v>115</v>
      </c>
      <c r="E12" s="7">
        <v>4615</v>
      </c>
      <c r="F12" s="7">
        <v>0</v>
      </c>
      <c r="G12" s="7">
        <v>2500</v>
      </c>
      <c r="H12" s="7">
        <v>0</v>
      </c>
      <c r="I12" s="7">
        <v>2800</v>
      </c>
      <c r="J12" s="7">
        <v>4000</v>
      </c>
      <c r="K12" s="7">
        <v>3500</v>
      </c>
      <c r="L12" s="7">
        <v>1000</v>
      </c>
      <c r="M12" s="7">
        <f t="shared" si="1"/>
        <v>18415</v>
      </c>
      <c r="N12" s="7">
        <v>23300</v>
      </c>
      <c r="O12" s="7">
        <f t="shared" si="2"/>
        <v>4885</v>
      </c>
      <c r="P12" s="22">
        <f t="shared" si="3"/>
        <v>26.527287537333695</v>
      </c>
      <c r="Q12" s="7" t="s">
        <v>47</v>
      </c>
      <c r="R12" s="7" t="s">
        <v>83</v>
      </c>
      <c r="S12">
        <f>Z17+Z10</f>
        <v>660</v>
      </c>
      <c r="T12">
        <f t="shared" si="4"/>
        <v>4225</v>
      </c>
      <c r="V12" s="15" t="s">
        <v>25</v>
      </c>
      <c r="W12" s="15" t="s">
        <v>26</v>
      </c>
      <c r="X12" s="15">
        <v>890</v>
      </c>
      <c r="Y12" s="15">
        <v>985</v>
      </c>
      <c r="Z12" s="15">
        <f t="shared" si="0"/>
        <v>95</v>
      </c>
    </row>
    <row r="13" spans="1:26" ht="57.6">
      <c r="A13" s="20">
        <v>45868</v>
      </c>
      <c r="B13" s="7" t="s">
        <v>94</v>
      </c>
      <c r="C13" s="7" t="s">
        <v>116</v>
      </c>
      <c r="D13" s="7" t="s">
        <v>95</v>
      </c>
      <c r="E13" s="7">
        <v>5200</v>
      </c>
      <c r="F13" s="7">
        <v>0</v>
      </c>
      <c r="G13" s="7">
        <v>2825</v>
      </c>
      <c r="H13" s="7">
        <v>0</v>
      </c>
      <c r="I13" s="7">
        <v>0</v>
      </c>
      <c r="J13" s="7">
        <v>4200</v>
      </c>
      <c r="K13" s="7">
        <v>3500</v>
      </c>
      <c r="L13" s="7">
        <v>1000</v>
      </c>
      <c r="M13" s="7">
        <f t="shared" si="1"/>
        <v>16725</v>
      </c>
      <c r="N13" s="7">
        <v>20200</v>
      </c>
      <c r="O13" s="7">
        <f t="shared" si="2"/>
        <v>3475</v>
      </c>
      <c r="P13" s="22">
        <f t="shared" si="3"/>
        <v>20.777279521674142</v>
      </c>
      <c r="Q13" s="7" t="s">
        <v>47</v>
      </c>
      <c r="R13" s="7" t="s">
        <v>89</v>
      </c>
      <c r="S13">
        <f>Z11+Z8</f>
        <v>167</v>
      </c>
      <c r="T13">
        <f t="shared" si="4"/>
        <v>3308</v>
      </c>
      <c r="V13" s="15" t="s">
        <v>67</v>
      </c>
      <c r="W13" s="15" t="s">
        <v>37</v>
      </c>
      <c r="X13" s="15">
        <v>605</v>
      </c>
      <c r="Y13" s="15">
        <v>700</v>
      </c>
      <c r="Z13" s="15">
        <f t="shared" si="0"/>
        <v>95</v>
      </c>
    </row>
    <row r="14" spans="1:26">
      <c r="V14" s="15" t="s">
        <v>39</v>
      </c>
      <c r="W14" s="15" t="s">
        <v>40</v>
      </c>
      <c r="X14" s="15">
        <v>580</v>
      </c>
      <c r="Y14" s="15">
        <v>660</v>
      </c>
      <c r="Z14" s="15">
        <f t="shared" si="0"/>
        <v>80</v>
      </c>
    </row>
    <row r="15" spans="1:26">
      <c r="V15" s="15" t="s">
        <v>6</v>
      </c>
      <c r="W15" s="15" t="s">
        <v>7</v>
      </c>
      <c r="X15" s="15">
        <v>625</v>
      </c>
      <c r="Y15" s="15">
        <v>710</v>
      </c>
      <c r="Z15" s="15">
        <f t="shared" si="0"/>
        <v>85</v>
      </c>
    </row>
    <row r="16" spans="1:26">
      <c r="V16" s="15" t="s">
        <v>33</v>
      </c>
      <c r="W16" s="15" t="s">
        <v>34</v>
      </c>
      <c r="X16" s="15">
        <v>540</v>
      </c>
      <c r="Y16" s="15">
        <v>623</v>
      </c>
      <c r="Z16" s="15">
        <f t="shared" si="0"/>
        <v>83</v>
      </c>
    </row>
    <row r="17" spans="22:26">
      <c r="V17" s="15" t="s">
        <v>23</v>
      </c>
      <c r="W17" s="15" t="s">
        <v>24</v>
      </c>
      <c r="X17" s="15">
        <v>3075</v>
      </c>
      <c r="Y17" s="15">
        <v>3600</v>
      </c>
      <c r="Z17" s="15">
        <f t="shared" si="0"/>
        <v>525</v>
      </c>
    </row>
    <row r="18" spans="22:26">
      <c r="V18" s="15" t="s">
        <v>16</v>
      </c>
      <c r="W18" s="15" t="s">
        <v>17</v>
      </c>
      <c r="X18" s="15">
        <v>2731</v>
      </c>
      <c r="Y18" s="15">
        <v>3225</v>
      </c>
      <c r="Z18" s="15">
        <f t="shared" si="0"/>
        <v>494</v>
      </c>
    </row>
    <row r="19" spans="22:26">
      <c r="V19" s="15" t="s">
        <v>10</v>
      </c>
      <c r="W19" s="15" t="s">
        <v>11</v>
      </c>
      <c r="X19" s="15">
        <v>3730</v>
      </c>
      <c r="Y19" s="15">
        <v>4540</v>
      </c>
      <c r="Z19" s="15">
        <f t="shared" si="0"/>
        <v>810</v>
      </c>
    </row>
    <row r="20" spans="22:26">
      <c r="V20" s="15" t="s">
        <v>14</v>
      </c>
      <c r="W20" s="15" t="s">
        <v>15</v>
      </c>
      <c r="X20" s="15">
        <v>4330</v>
      </c>
      <c r="Y20" s="15">
        <v>5450</v>
      </c>
      <c r="Z20" s="15">
        <f t="shared" si="0"/>
        <v>1120</v>
      </c>
    </row>
    <row r="21" spans="22:26">
      <c r="V21" s="15" t="s">
        <v>4</v>
      </c>
      <c r="W21" s="15" t="s">
        <v>5</v>
      </c>
      <c r="X21" s="15">
        <v>2686</v>
      </c>
      <c r="Y21" s="15">
        <v>2950</v>
      </c>
      <c r="Z21" s="15">
        <f t="shared" si="0"/>
        <v>264</v>
      </c>
    </row>
    <row r="22" spans="22:26">
      <c r="V22" s="15" t="s">
        <v>35</v>
      </c>
      <c r="W22" s="15" t="s">
        <v>36</v>
      </c>
      <c r="X22" s="15">
        <v>1050</v>
      </c>
      <c r="Y22" s="15">
        <v>1200</v>
      </c>
      <c r="Z22" s="15">
        <f t="shared" si="0"/>
        <v>150</v>
      </c>
    </row>
    <row r="23" spans="22:26">
      <c r="V23" s="15" t="s">
        <v>132</v>
      </c>
      <c r="X23">
        <f>SUM(X2:X22)</f>
        <v>36078</v>
      </c>
      <c r="Y23">
        <f>SUM(Y2:Y22)</f>
        <v>42576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E356-5D90-483E-99B4-F784850F23DD}">
  <dimension ref="A1:P318"/>
  <sheetViews>
    <sheetView tabSelected="1" topLeftCell="A265" zoomScale="60" zoomScaleNormal="60" workbookViewId="0">
      <selection activeCell="I248" sqref="I248"/>
    </sheetView>
  </sheetViews>
  <sheetFormatPr defaultRowHeight="14.4"/>
  <cols>
    <col min="2" max="2" width="19.88671875" bestFit="1" customWidth="1"/>
    <col min="3" max="3" width="18.21875" bestFit="1" customWidth="1"/>
    <col min="4" max="4" width="23.6640625" bestFit="1" customWidth="1"/>
    <col min="5" max="5" width="12" bestFit="1" customWidth="1"/>
    <col min="6" max="6" width="12.33203125" bestFit="1" customWidth="1"/>
    <col min="7" max="7" width="15.33203125" bestFit="1" customWidth="1"/>
    <col min="8" max="8" width="20.33203125" bestFit="1" customWidth="1"/>
    <col min="9" max="9" width="18.77734375" bestFit="1" customWidth="1"/>
    <col min="10" max="10" width="15.109375" bestFit="1" customWidth="1"/>
    <col min="11" max="11" width="15.88671875" customWidth="1"/>
    <col min="14" max="14" width="18" bestFit="1" customWidth="1"/>
    <col min="17" max="17" width="13.44140625" bestFit="1" customWidth="1"/>
    <col min="18" max="18" width="20.33203125" bestFit="1" customWidth="1"/>
  </cols>
  <sheetData>
    <row r="1" spans="1:16" ht="23.4" customHeight="1">
      <c r="A1" s="10"/>
      <c r="B1" s="10"/>
      <c r="C1" s="57" t="s">
        <v>57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10"/>
      <c r="O1" s="10"/>
      <c r="P1" s="10"/>
    </row>
    <row r="3" spans="1:16" ht="21" customHeight="1">
      <c r="B3" s="11" t="s">
        <v>58</v>
      </c>
      <c r="C3" s="8">
        <f>SUM(Sale[Total Sales])</f>
        <v>369152</v>
      </c>
      <c r="E3" s="14" t="s">
        <v>1</v>
      </c>
      <c r="F3" s="14" t="s">
        <v>2</v>
      </c>
      <c r="G3" s="14" t="s">
        <v>51</v>
      </c>
      <c r="H3" s="14" t="s">
        <v>52</v>
      </c>
      <c r="I3" s="14" t="s">
        <v>53</v>
      </c>
      <c r="J3" s="14" t="s">
        <v>54</v>
      </c>
    </row>
    <row r="4" spans="1:16" ht="24.6" customHeight="1">
      <c r="B4" s="11" t="s">
        <v>59</v>
      </c>
      <c r="C4" s="35">
        <f>SUM(Purchase!F2:F38)</f>
        <v>328929.5</v>
      </c>
      <c r="E4" s="15" t="s">
        <v>18</v>
      </c>
      <c r="F4" s="15" t="s">
        <v>19</v>
      </c>
      <c r="G4" s="15">
        <v>2480</v>
      </c>
      <c r="H4" s="15">
        <v>2923</v>
      </c>
      <c r="I4" s="15">
        <f t="shared" ref="I4:I24" si="0">H4-G4</f>
        <v>443</v>
      </c>
      <c r="J4" s="16">
        <f t="shared" ref="J4:J24" si="1">I4/G4*100</f>
        <v>17.862903225806452</v>
      </c>
    </row>
    <row r="5" spans="1:16">
      <c r="B5" s="11" t="s">
        <v>60</v>
      </c>
      <c r="C5" s="36">
        <v>54979.5</v>
      </c>
      <c r="E5" s="15" t="s">
        <v>29</v>
      </c>
      <c r="F5" s="15" t="s">
        <v>30</v>
      </c>
      <c r="G5" s="15">
        <v>1275</v>
      </c>
      <c r="H5" s="15">
        <v>1425</v>
      </c>
      <c r="I5" s="15">
        <f t="shared" si="0"/>
        <v>150</v>
      </c>
      <c r="J5" s="16">
        <f t="shared" si="1"/>
        <v>11.76470588235294</v>
      </c>
    </row>
    <row r="6" spans="1:16">
      <c r="B6" s="11"/>
      <c r="C6" s="8"/>
      <c r="E6" s="15" t="s">
        <v>21</v>
      </c>
      <c r="F6" s="15" t="s">
        <v>22</v>
      </c>
      <c r="G6" s="15">
        <v>3560</v>
      </c>
      <c r="H6" s="15">
        <v>4525</v>
      </c>
      <c r="I6" s="15">
        <f t="shared" si="0"/>
        <v>965</v>
      </c>
      <c r="J6" s="16">
        <f t="shared" si="1"/>
        <v>27.106741573033709</v>
      </c>
    </row>
    <row r="7" spans="1:16" ht="28.8">
      <c r="B7" s="11" t="s">
        <v>61</v>
      </c>
      <c r="C7" s="8" t="s">
        <v>17</v>
      </c>
      <c r="E7" s="15" t="s">
        <v>31</v>
      </c>
      <c r="F7" s="15" t="s">
        <v>32</v>
      </c>
      <c r="G7" s="15">
        <v>1410</v>
      </c>
      <c r="H7" s="15">
        <v>1650</v>
      </c>
      <c r="I7" s="15">
        <f t="shared" si="0"/>
        <v>240</v>
      </c>
      <c r="J7" s="16">
        <f t="shared" si="1"/>
        <v>17.021276595744681</v>
      </c>
    </row>
    <row r="8" spans="1:16" ht="23.4" customHeight="1">
      <c r="B8" s="11"/>
      <c r="C8" s="12"/>
      <c r="E8" s="15" t="s">
        <v>8</v>
      </c>
      <c r="F8" s="15" t="s">
        <v>9</v>
      </c>
      <c r="G8" s="15">
        <v>2720</v>
      </c>
      <c r="H8" s="15">
        <v>3120</v>
      </c>
      <c r="I8" s="15">
        <f t="shared" si="0"/>
        <v>400</v>
      </c>
      <c r="J8" s="16">
        <f t="shared" si="1"/>
        <v>14.705882352941178</v>
      </c>
    </row>
    <row r="9" spans="1:16" ht="31.2" customHeight="1">
      <c r="B9" s="13" t="s">
        <v>62</v>
      </c>
      <c r="C9" s="8">
        <v>69</v>
      </c>
      <c r="E9" s="15" t="s">
        <v>38</v>
      </c>
      <c r="F9" s="15" t="s">
        <v>38</v>
      </c>
      <c r="G9" s="15">
        <v>800</v>
      </c>
      <c r="H9" s="15">
        <v>950</v>
      </c>
      <c r="I9" s="15">
        <f t="shared" si="0"/>
        <v>150</v>
      </c>
      <c r="J9" s="16">
        <f t="shared" si="1"/>
        <v>18.75</v>
      </c>
    </row>
    <row r="10" spans="1:16" ht="37.200000000000003" customHeight="1">
      <c r="B10" s="13" t="s">
        <v>63</v>
      </c>
      <c r="C10">
        <f>COUNTA(Purchase!A:A)</f>
        <v>38</v>
      </c>
      <c r="E10" s="15" t="s">
        <v>20</v>
      </c>
      <c r="F10" s="15" t="s">
        <v>20</v>
      </c>
      <c r="G10" s="15">
        <v>651</v>
      </c>
      <c r="H10" s="15">
        <v>725</v>
      </c>
      <c r="I10" s="15">
        <f t="shared" si="0"/>
        <v>74</v>
      </c>
      <c r="J10" s="16">
        <f t="shared" si="1"/>
        <v>11.367127496159753</v>
      </c>
    </row>
    <row r="11" spans="1:16">
      <c r="E11" s="15" t="s">
        <v>27</v>
      </c>
      <c r="F11" s="15" t="s">
        <v>28</v>
      </c>
      <c r="G11" s="15">
        <v>703</v>
      </c>
      <c r="H11" s="15">
        <v>750</v>
      </c>
      <c r="I11" s="15">
        <f t="shared" si="0"/>
        <v>47</v>
      </c>
      <c r="J11" s="16">
        <f t="shared" si="1"/>
        <v>6.6856330014224756</v>
      </c>
    </row>
    <row r="12" spans="1:16">
      <c r="E12" s="15" t="s">
        <v>12</v>
      </c>
      <c r="F12" s="15" t="s">
        <v>13</v>
      </c>
      <c r="G12" s="15">
        <v>880</v>
      </c>
      <c r="H12" s="15">
        <v>1015</v>
      </c>
      <c r="I12" s="15">
        <f t="shared" si="0"/>
        <v>135</v>
      </c>
      <c r="J12" s="16">
        <f t="shared" si="1"/>
        <v>15.340909090909092</v>
      </c>
    </row>
    <row r="13" spans="1:16">
      <c r="E13" s="15" t="s">
        <v>41</v>
      </c>
      <c r="F13" s="15" t="s">
        <v>42</v>
      </c>
      <c r="G13" s="15">
        <v>757</v>
      </c>
      <c r="H13" s="15">
        <v>850</v>
      </c>
      <c r="I13" s="15">
        <f t="shared" si="0"/>
        <v>93</v>
      </c>
      <c r="J13" s="16">
        <f t="shared" si="1"/>
        <v>12.285336856010568</v>
      </c>
    </row>
    <row r="14" spans="1:16">
      <c r="E14" s="15" t="s">
        <v>25</v>
      </c>
      <c r="F14" s="15" t="s">
        <v>26</v>
      </c>
      <c r="G14" s="15">
        <v>890</v>
      </c>
      <c r="H14" s="15">
        <v>985</v>
      </c>
      <c r="I14" s="15">
        <f t="shared" si="0"/>
        <v>95</v>
      </c>
      <c r="J14" s="16">
        <f t="shared" si="1"/>
        <v>10.674157303370785</v>
      </c>
    </row>
    <row r="15" spans="1:16">
      <c r="E15" s="15" t="s">
        <v>67</v>
      </c>
      <c r="F15" s="15" t="s">
        <v>37</v>
      </c>
      <c r="G15" s="15">
        <v>605</v>
      </c>
      <c r="H15" s="15">
        <v>700</v>
      </c>
      <c r="I15" s="15">
        <f t="shared" si="0"/>
        <v>95</v>
      </c>
      <c r="J15" s="16">
        <f t="shared" si="1"/>
        <v>15.702479338842975</v>
      </c>
    </row>
    <row r="16" spans="1:16">
      <c r="E16" s="15" t="s">
        <v>39</v>
      </c>
      <c r="F16" s="15" t="s">
        <v>40</v>
      </c>
      <c r="G16" s="15">
        <v>580</v>
      </c>
      <c r="H16" s="15">
        <v>660</v>
      </c>
      <c r="I16" s="15">
        <f t="shared" si="0"/>
        <v>80</v>
      </c>
      <c r="J16" s="16">
        <f t="shared" si="1"/>
        <v>13.793103448275861</v>
      </c>
    </row>
    <row r="17" spans="2:10">
      <c r="E17" s="15" t="s">
        <v>6</v>
      </c>
      <c r="F17" s="15" t="s">
        <v>7</v>
      </c>
      <c r="G17" s="15">
        <v>625</v>
      </c>
      <c r="H17" s="15">
        <v>710</v>
      </c>
      <c r="I17" s="15">
        <f t="shared" si="0"/>
        <v>85</v>
      </c>
      <c r="J17" s="16">
        <f t="shared" si="1"/>
        <v>13.600000000000001</v>
      </c>
    </row>
    <row r="18" spans="2:10">
      <c r="E18" s="15" t="s">
        <v>33</v>
      </c>
      <c r="F18" s="15" t="s">
        <v>34</v>
      </c>
      <c r="G18" s="15">
        <v>540</v>
      </c>
      <c r="H18" s="15">
        <v>623</v>
      </c>
      <c r="I18" s="15">
        <f t="shared" si="0"/>
        <v>83</v>
      </c>
      <c r="J18" s="16">
        <f t="shared" si="1"/>
        <v>15.37037037037037</v>
      </c>
    </row>
    <row r="19" spans="2:10">
      <c r="B19" t="s">
        <v>48</v>
      </c>
      <c r="E19" s="15" t="s">
        <v>23</v>
      </c>
      <c r="F19" s="15" t="s">
        <v>24</v>
      </c>
      <c r="G19" s="15">
        <v>3075</v>
      </c>
      <c r="H19" s="15">
        <v>3600</v>
      </c>
      <c r="I19" s="15">
        <f t="shared" si="0"/>
        <v>525</v>
      </c>
      <c r="J19" s="16">
        <f t="shared" si="1"/>
        <v>17.073170731707318</v>
      </c>
    </row>
    <row r="20" spans="2:10">
      <c r="E20" s="15" t="s">
        <v>16</v>
      </c>
      <c r="F20" s="15" t="s">
        <v>17</v>
      </c>
      <c r="G20" s="15">
        <v>2731</v>
      </c>
      <c r="H20" s="15">
        <v>3225</v>
      </c>
      <c r="I20" s="15">
        <f t="shared" si="0"/>
        <v>494</v>
      </c>
      <c r="J20" s="16">
        <f t="shared" si="1"/>
        <v>18.088612229952396</v>
      </c>
    </row>
    <row r="21" spans="2:10">
      <c r="E21" s="15" t="s">
        <v>10</v>
      </c>
      <c r="F21" s="15" t="s">
        <v>11</v>
      </c>
      <c r="G21" s="15">
        <v>3730</v>
      </c>
      <c r="H21" s="15">
        <v>4540</v>
      </c>
      <c r="I21" s="15">
        <f t="shared" si="0"/>
        <v>810</v>
      </c>
      <c r="J21" s="16">
        <f t="shared" si="1"/>
        <v>21.715817694369974</v>
      </c>
    </row>
    <row r="22" spans="2:10">
      <c r="E22" s="15" t="s">
        <v>14</v>
      </c>
      <c r="F22" s="15" t="s">
        <v>15</v>
      </c>
      <c r="G22" s="15">
        <v>4330</v>
      </c>
      <c r="H22" s="15">
        <v>5450</v>
      </c>
      <c r="I22" s="15">
        <f t="shared" si="0"/>
        <v>1120</v>
      </c>
      <c r="J22" s="16">
        <f t="shared" si="1"/>
        <v>25.866050808314089</v>
      </c>
    </row>
    <row r="23" spans="2:10">
      <c r="E23" s="15" t="s">
        <v>4</v>
      </c>
      <c r="F23" s="15" t="s">
        <v>5</v>
      </c>
      <c r="G23" s="15">
        <v>2686</v>
      </c>
      <c r="H23" s="15">
        <v>2950</v>
      </c>
      <c r="I23" s="15">
        <f t="shared" si="0"/>
        <v>264</v>
      </c>
      <c r="J23" s="16">
        <f t="shared" si="1"/>
        <v>9.8287416232315703</v>
      </c>
    </row>
    <row r="24" spans="2:10">
      <c r="E24" s="15" t="s">
        <v>35</v>
      </c>
      <c r="F24" s="15" t="s">
        <v>36</v>
      </c>
      <c r="G24" s="15">
        <v>1050</v>
      </c>
      <c r="H24" s="15">
        <v>1200</v>
      </c>
      <c r="I24" s="15">
        <f t="shared" si="0"/>
        <v>150</v>
      </c>
      <c r="J24" s="16">
        <f t="shared" si="1"/>
        <v>14.285714285714285</v>
      </c>
    </row>
    <row r="25" spans="2:10">
      <c r="E25" s="15" t="s">
        <v>132</v>
      </c>
      <c r="G25">
        <f>SUM(G4:G24)</f>
        <v>36078</v>
      </c>
      <c r="H25">
        <f>SUM(H4:H24)</f>
        <v>42576</v>
      </c>
    </row>
    <row r="27" spans="2:10" ht="18">
      <c r="B27" s="19" t="s">
        <v>64</v>
      </c>
      <c r="C27" s="17"/>
      <c r="D27" s="17"/>
      <c r="E27" s="17"/>
    </row>
    <row r="31" spans="2:10">
      <c r="C31" s="4" t="s">
        <v>43</v>
      </c>
      <c r="D31" t="s">
        <v>141</v>
      </c>
    </row>
    <row r="32" spans="2:10">
      <c r="C32" s="5" t="s">
        <v>46</v>
      </c>
      <c r="D32" s="61">
        <v>278590</v>
      </c>
    </row>
    <row r="33" spans="2:7">
      <c r="C33" s="5" t="s">
        <v>97</v>
      </c>
      <c r="D33" s="61">
        <v>39670</v>
      </c>
    </row>
    <row r="34" spans="2:7">
      <c r="C34" s="5" t="s">
        <v>47</v>
      </c>
      <c r="D34" s="61">
        <v>50892</v>
      </c>
    </row>
    <row r="35" spans="2:7">
      <c r="C35" s="5" t="s">
        <v>44</v>
      </c>
      <c r="D35" s="61">
        <v>369152</v>
      </c>
    </row>
    <row r="46" spans="2:7" ht="21">
      <c r="B46" s="57" t="s">
        <v>65</v>
      </c>
      <c r="C46" s="57"/>
      <c r="D46" s="57"/>
      <c r="E46" s="57"/>
      <c r="F46" s="57"/>
      <c r="G46" s="57"/>
    </row>
    <row r="50" spans="2:7">
      <c r="B50" s="4" t="s">
        <v>56</v>
      </c>
      <c r="C50" s="4" t="s">
        <v>178</v>
      </c>
    </row>
    <row r="51" spans="2:7">
      <c r="B51" s="4" t="s">
        <v>43</v>
      </c>
      <c r="C51" t="s">
        <v>142</v>
      </c>
      <c r="D51" t="s">
        <v>145</v>
      </c>
      <c r="E51" t="s">
        <v>144</v>
      </c>
      <c r="F51" t="s">
        <v>143</v>
      </c>
      <c r="G51" t="s">
        <v>44</v>
      </c>
    </row>
    <row r="52" spans="2:7">
      <c r="B52" s="5" t="s">
        <v>18</v>
      </c>
      <c r="C52" s="61">
        <v>1</v>
      </c>
      <c r="D52" s="61"/>
      <c r="E52" s="61">
        <v>1</v>
      </c>
      <c r="F52" s="61"/>
      <c r="G52" s="61">
        <v>2</v>
      </c>
    </row>
    <row r="53" spans="2:7">
      <c r="B53" s="5" t="s">
        <v>29</v>
      </c>
      <c r="C53" s="61">
        <v>1</v>
      </c>
      <c r="D53" s="61"/>
      <c r="E53" s="61"/>
      <c r="F53" s="61"/>
      <c r="G53" s="61">
        <v>1</v>
      </c>
    </row>
    <row r="54" spans="2:7">
      <c r="B54" s="5" t="s">
        <v>21</v>
      </c>
      <c r="C54" s="61"/>
      <c r="D54" s="61">
        <v>4</v>
      </c>
      <c r="E54" s="61"/>
      <c r="F54" s="61"/>
      <c r="G54" s="61">
        <v>4</v>
      </c>
    </row>
    <row r="55" spans="2:7">
      <c r="B55" s="5" t="s">
        <v>31</v>
      </c>
      <c r="C55" s="61"/>
      <c r="D55" s="61"/>
      <c r="E55" s="61">
        <v>6</v>
      </c>
      <c r="F55" s="61">
        <v>1</v>
      </c>
      <c r="G55" s="61">
        <v>7</v>
      </c>
    </row>
    <row r="56" spans="2:7">
      <c r="B56" s="5" t="s">
        <v>8</v>
      </c>
      <c r="C56" s="61"/>
      <c r="D56" s="61">
        <v>1</v>
      </c>
      <c r="E56" s="61">
        <v>2</v>
      </c>
      <c r="F56" s="61"/>
      <c r="G56" s="61">
        <v>3</v>
      </c>
    </row>
    <row r="57" spans="2:7">
      <c r="B57" s="5" t="s">
        <v>38</v>
      </c>
      <c r="C57" s="61"/>
      <c r="D57" s="61">
        <v>6</v>
      </c>
      <c r="E57" s="61">
        <v>12</v>
      </c>
      <c r="F57" s="61"/>
      <c r="G57" s="61">
        <v>18</v>
      </c>
    </row>
    <row r="58" spans="2:7">
      <c r="B58" s="5" t="s">
        <v>20</v>
      </c>
      <c r="C58" s="61"/>
      <c r="D58" s="61"/>
      <c r="E58" s="61"/>
      <c r="F58" s="61">
        <v>10</v>
      </c>
      <c r="G58" s="61">
        <v>10</v>
      </c>
    </row>
    <row r="59" spans="2:7">
      <c r="B59" s="5" t="s">
        <v>27</v>
      </c>
      <c r="C59" s="61"/>
      <c r="D59" s="61"/>
      <c r="E59" s="61">
        <v>1</v>
      </c>
      <c r="F59" s="61">
        <v>3</v>
      </c>
      <c r="G59" s="61">
        <v>4</v>
      </c>
    </row>
    <row r="60" spans="2:7">
      <c r="B60" s="5" t="s">
        <v>12</v>
      </c>
      <c r="C60" s="61"/>
      <c r="D60" s="61">
        <v>2</v>
      </c>
      <c r="E60" s="61">
        <v>4</v>
      </c>
      <c r="F60" s="61"/>
      <c r="G60" s="61">
        <v>6</v>
      </c>
    </row>
    <row r="61" spans="2:7">
      <c r="B61" s="5" t="s">
        <v>41</v>
      </c>
      <c r="C61" s="61">
        <v>2</v>
      </c>
      <c r="D61" s="61">
        <v>1</v>
      </c>
      <c r="E61" s="61">
        <v>5</v>
      </c>
      <c r="F61" s="61">
        <v>4</v>
      </c>
      <c r="G61" s="61">
        <v>12</v>
      </c>
    </row>
    <row r="62" spans="2:7">
      <c r="B62" s="5" t="s">
        <v>25</v>
      </c>
      <c r="C62" s="61">
        <v>6</v>
      </c>
      <c r="D62" s="61">
        <v>3</v>
      </c>
      <c r="E62" s="61"/>
      <c r="F62" s="61"/>
      <c r="G62" s="61">
        <v>9</v>
      </c>
    </row>
    <row r="63" spans="2:7">
      <c r="B63" s="5" t="s">
        <v>67</v>
      </c>
      <c r="C63" s="61">
        <v>4</v>
      </c>
      <c r="D63" s="61"/>
      <c r="E63" s="61"/>
      <c r="F63" s="61">
        <v>8</v>
      </c>
      <c r="G63" s="61">
        <v>12</v>
      </c>
    </row>
    <row r="64" spans="2:7">
      <c r="B64" s="5" t="s">
        <v>39</v>
      </c>
      <c r="C64" s="61">
        <v>4</v>
      </c>
      <c r="D64" s="61"/>
      <c r="E64" s="61"/>
      <c r="F64" s="61"/>
      <c r="G64" s="61">
        <v>4</v>
      </c>
    </row>
    <row r="65" spans="2:7">
      <c r="B65" s="5" t="s">
        <v>6</v>
      </c>
      <c r="C65" s="61">
        <v>4</v>
      </c>
      <c r="D65" s="61">
        <v>12</v>
      </c>
      <c r="E65" s="61"/>
      <c r="F65" s="61"/>
      <c r="G65" s="61">
        <v>16</v>
      </c>
    </row>
    <row r="66" spans="2:7">
      <c r="B66" s="5" t="s">
        <v>33</v>
      </c>
      <c r="C66" s="61">
        <v>6</v>
      </c>
      <c r="D66" s="61">
        <v>8</v>
      </c>
      <c r="E66" s="61"/>
      <c r="F66" s="61">
        <v>14</v>
      </c>
      <c r="G66" s="61">
        <v>28</v>
      </c>
    </row>
    <row r="67" spans="2:7">
      <c r="B67" s="5" t="s">
        <v>23</v>
      </c>
      <c r="C67" s="61"/>
      <c r="D67" s="61">
        <v>5</v>
      </c>
      <c r="E67" s="61">
        <v>4</v>
      </c>
      <c r="F67" s="61">
        <v>5</v>
      </c>
      <c r="G67" s="61">
        <v>14</v>
      </c>
    </row>
    <row r="68" spans="2:7">
      <c r="B68" s="5" t="s">
        <v>16</v>
      </c>
      <c r="C68" s="61">
        <v>1</v>
      </c>
      <c r="D68" s="61"/>
      <c r="E68" s="61">
        <v>9</v>
      </c>
      <c r="F68" s="61">
        <v>4</v>
      </c>
      <c r="G68" s="61">
        <v>14</v>
      </c>
    </row>
    <row r="69" spans="2:7">
      <c r="B69" s="5" t="s">
        <v>10</v>
      </c>
      <c r="C69" s="61">
        <v>2</v>
      </c>
      <c r="D69" s="61">
        <v>3</v>
      </c>
      <c r="E69" s="61"/>
      <c r="F69" s="61"/>
      <c r="G69" s="61">
        <v>5</v>
      </c>
    </row>
    <row r="70" spans="2:7">
      <c r="B70" s="5" t="s">
        <v>14</v>
      </c>
      <c r="C70" s="61">
        <v>3</v>
      </c>
      <c r="D70" s="61">
        <v>2</v>
      </c>
      <c r="E70" s="61">
        <v>3</v>
      </c>
      <c r="F70" s="61"/>
      <c r="G70" s="61">
        <v>8</v>
      </c>
    </row>
    <row r="71" spans="2:7">
      <c r="B71" s="5" t="s">
        <v>4</v>
      </c>
      <c r="C71" s="61">
        <v>1</v>
      </c>
      <c r="D71" s="61"/>
      <c r="E71" s="61"/>
      <c r="F71" s="61">
        <v>1</v>
      </c>
      <c r="G71" s="61">
        <v>2</v>
      </c>
    </row>
    <row r="72" spans="2:7">
      <c r="B72" s="5" t="s">
        <v>35</v>
      </c>
      <c r="C72" s="61"/>
      <c r="D72" s="61"/>
      <c r="E72" s="61">
        <v>32.430000000000007</v>
      </c>
      <c r="F72" s="61">
        <v>19.880000000000003</v>
      </c>
      <c r="G72" s="61">
        <v>52.310000000000009</v>
      </c>
    </row>
    <row r="73" spans="2:7">
      <c r="B73" s="5" t="s">
        <v>44</v>
      </c>
      <c r="C73" s="61">
        <v>35</v>
      </c>
      <c r="D73" s="61">
        <v>47</v>
      </c>
      <c r="E73" s="61">
        <v>79.430000000000007</v>
      </c>
      <c r="F73" s="61">
        <v>69.88</v>
      </c>
      <c r="G73" s="61">
        <v>231.31</v>
      </c>
    </row>
    <row r="96" spans="2:7" ht="21">
      <c r="B96" s="57" t="s">
        <v>66</v>
      </c>
      <c r="C96" s="57"/>
      <c r="D96" s="57"/>
      <c r="E96" s="57"/>
      <c r="F96" s="57"/>
      <c r="G96" s="57"/>
    </row>
    <row r="98" spans="2:4">
      <c r="B98" s="4" t="s">
        <v>0</v>
      </c>
      <c r="C98" t="s">
        <v>133</v>
      </c>
    </row>
    <row r="100" spans="2:4">
      <c r="B100" s="4" t="s">
        <v>43</v>
      </c>
      <c r="C100" t="s">
        <v>45</v>
      </c>
      <c r="D100" t="s">
        <v>56</v>
      </c>
    </row>
    <row r="101" spans="2:4">
      <c r="B101" s="5" t="s">
        <v>18</v>
      </c>
      <c r="C101">
        <v>9920</v>
      </c>
      <c r="D101">
        <v>4</v>
      </c>
    </row>
    <row r="102" spans="2:4">
      <c r="B102" s="5" t="s">
        <v>29</v>
      </c>
      <c r="C102">
        <v>5100</v>
      </c>
      <c r="D102">
        <v>4</v>
      </c>
    </row>
    <row r="103" spans="2:4">
      <c r="B103" s="5" t="s">
        <v>21</v>
      </c>
      <c r="C103">
        <v>32040</v>
      </c>
      <c r="D103">
        <v>9</v>
      </c>
    </row>
    <row r="104" spans="2:4">
      <c r="B104" s="5" t="s">
        <v>31</v>
      </c>
      <c r="C104">
        <v>5640</v>
      </c>
      <c r="D104">
        <v>4</v>
      </c>
    </row>
    <row r="105" spans="2:4">
      <c r="B105" s="5" t="s">
        <v>8</v>
      </c>
      <c r="C105">
        <v>21760</v>
      </c>
      <c r="D105">
        <v>8</v>
      </c>
    </row>
    <row r="106" spans="2:4">
      <c r="B106" s="5" t="s">
        <v>38</v>
      </c>
      <c r="C106">
        <v>27012</v>
      </c>
      <c r="D106">
        <v>36</v>
      </c>
    </row>
    <row r="107" spans="2:4">
      <c r="B107" s="5" t="s">
        <v>20</v>
      </c>
      <c r="C107">
        <v>7812</v>
      </c>
      <c r="D107">
        <v>12</v>
      </c>
    </row>
    <row r="108" spans="2:4">
      <c r="B108" s="5" t="s">
        <v>27</v>
      </c>
      <c r="C108">
        <v>4921</v>
      </c>
      <c r="D108">
        <v>7</v>
      </c>
    </row>
    <row r="109" spans="2:4">
      <c r="B109" s="5" t="s">
        <v>12</v>
      </c>
      <c r="C109">
        <v>7040</v>
      </c>
      <c r="D109">
        <v>8</v>
      </c>
    </row>
    <row r="110" spans="2:4">
      <c r="B110" s="5" t="s">
        <v>41</v>
      </c>
      <c r="C110">
        <v>12112</v>
      </c>
      <c r="D110">
        <v>16</v>
      </c>
    </row>
    <row r="111" spans="2:4">
      <c r="B111" s="5" t="s">
        <v>25</v>
      </c>
      <c r="C111">
        <v>6230</v>
      </c>
      <c r="D111">
        <v>7</v>
      </c>
    </row>
    <row r="112" spans="2:4">
      <c r="B112" s="5" t="s">
        <v>39</v>
      </c>
      <c r="C112">
        <v>3480</v>
      </c>
      <c r="D112">
        <v>6</v>
      </c>
    </row>
    <row r="113" spans="2:11">
      <c r="B113" s="5" t="s">
        <v>33</v>
      </c>
      <c r="C113">
        <v>6480</v>
      </c>
      <c r="D113">
        <v>12</v>
      </c>
    </row>
    <row r="114" spans="2:11">
      <c r="B114" s="5" t="s">
        <v>23</v>
      </c>
      <c r="C114">
        <v>27675</v>
      </c>
      <c r="D114">
        <v>9</v>
      </c>
    </row>
    <row r="115" spans="2:11">
      <c r="B115" s="5" t="s">
        <v>16</v>
      </c>
      <c r="C115">
        <v>40965</v>
      </c>
      <c r="D115">
        <v>15</v>
      </c>
    </row>
    <row r="116" spans="2:11">
      <c r="B116" s="5" t="s">
        <v>10</v>
      </c>
      <c r="C116">
        <v>14920</v>
      </c>
      <c r="D116">
        <v>4</v>
      </c>
    </row>
    <row r="117" spans="2:11">
      <c r="B117" s="5" t="s">
        <v>14</v>
      </c>
      <c r="C117">
        <v>56290</v>
      </c>
      <c r="D117">
        <v>13</v>
      </c>
    </row>
    <row r="118" spans="2:11">
      <c r="B118" s="5" t="s">
        <v>35</v>
      </c>
      <c r="C118">
        <v>39532.5</v>
      </c>
      <c r="D118">
        <v>37.650000000000006</v>
      </c>
    </row>
    <row r="119" spans="2:11">
      <c r="B119" s="5" t="s">
        <v>44</v>
      </c>
      <c r="C119">
        <v>328929.5</v>
      </c>
      <c r="D119">
        <v>211.65</v>
      </c>
    </row>
    <row r="120" spans="2:11" ht="17.399999999999999" customHeight="1"/>
    <row r="123" spans="2:11" ht="21">
      <c r="B123" s="57" t="s">
        <v>187</v>
      </c>
      <c r="C123" s="57"/>
      <c r="D123" s="57"/>
      <c r="E123" s="57"/>
      <c r="F123" s="57"/>
      <c r="G123" s="57"/>
    </row>
    <row r="126" spans="2:11" ht="15" thickBot="1"/>
    <row r="127" spans="2:11" ht="15" thickBot="1">
      <c r="B127" s="31" t="s">
        <v>1</v>
      </c>
      <c r="C127" s="32" t="s">
        <v>2</v>
      </c>
      <c r="D127" s="32" t="s">
        <v>51</v>
      </c>
      <c r="E127" s="32" t="s">
        <v>52</v>
      </c>
      <c r="F127" s="32" t="s">
        <v>53</v>
      </c>
      <c r="G127" s="32" t="s">
        <v>104</v>
      </c>
      <c r="H127" s="32" t="s">
        <v>103</v>
      </c>
      <c r="I127" s="30" t="s">
        <v>135</v>
      </c>
      <c r="J127" s="30" t="s">
        <v>49</v>
      </c>
      <c r="K127" s="29" t="s">
        <v>50</v>
      </c>
    </row>
    <row r="128" spans="2:11" ht="15" thickBot="1">
      <c r="B128" s="33" t="s">
        <v>14</v>
      </c>
      <c r="C128" s="33" t="s">
        <v>15</v>
      </c>
      <c r="D128" s="33">
        <v>4330</v>
      </c>
      <c r="E128" s="33">
        <v>5450</v>
      </c>
      <c r="F128" s="33">
        <v>1120</v>
      </c>
      <c r="G128" s="33">
        <v>8</v>
      </c>
      <c r="H128" s="33">
        <v>8960</v>
      </c>
      <c r="I128" s="37">
        <f>H128/54979.5</f>
        <v>0.16296983421093317</v>
      </c>
      <c r="J128" s="37">
        <f>I128</f>
        <v>0.16296983421093317</v>
      </c>
      <c r="K128" s="34" t="str">
        <f>IF(J128&lt;=0.8,"A", IF(J128&lt;=0.9,"B","C"))</f>
        <v>A</v>
      </c>
    </row>
    <row r="129" spans="2:11" ht="29.4" thickBot="1">
      <c r="B129" s="33" t="s">
        <v>35</v>
      </c>
      <c r="C129" s="33" t="s">
        <v>36</v>
      </c>
      <c r="D129" s="33">
        <v>1050</v>
      </c>
      <c r="E129" s="33">
        <v>1200</v>
      </c>
      <c r="F129" s="33">
        <v>150</v>
      </c>
      <c r="G129" s="33">
        <v>52.31</v>
      </c>
      <c r="H129" s="33">
        <v>7846.5</v>
      </c>
      <c r="I129" s="37">
        <f t="shared" ref="I129:I148" si="2">H129/54979.5</f>
        <v>0.14271683081875972</v>
      </c>
      <c r="J129" s="37">
        <f>J128+I129</f>
        <v>0.30568666502969288</v>
      </c>
      <c r="K129" s="34" t="str">
        <f t="shared" ref="K129:K148" si="3">IF(J129&lt;=0.8,"A", IF(J129&lt;=0.9,"B","C"))</f>
        <v>A</v>
      </c>
    </row>
    <row r="130" spans="2:11" ht="15" thickBot="1">
      <c r="B130" s="33" t="s">
        <v>23</v>
      </c>
      <c r="C130" s="33" t="s">
        <v>24</v>
      </c>
      <c r="D130" s="33">
        <v>3075</v>
      </c>
      <c r="E130" s="33">
        <v>3600</v>
      </c>
      <c r="F130" s="33">
        <v>525</v>
      </c>
      <c r="G130" s="33">
        <v>14</v>
      </c>
      <c r="H130" s="33">
        <v>7350</v>
      </c>
      <c r="I130" s="37">
        <f t="shared" si="2"/>
        <v>0.13368619212615612</v>
      </c>
      <c r="J130" s="37">
        <f t="shared" ref="J130:J148" si="4">J129+I130</f>
        <v>0.43937285715584901</v>
      </c>
      <c r="K130" s="34" t="str">
        <f t="shared" si="3"/>
        <v>A</v>
      </c>
    </row>
    <row r="131" spans="2:11" ht="15" thickBot="1">
      <c r="B131" s="33" t="s">
        <v>16</v>
      </c>
      <c r="C131" s="33" t="s">
        <v>17</v>
      </c>
      <c r="D131" s="33">
        <v>2731</v>
      </c>
      <c r="E131" s="33">
        <v>3225</v>
      </c>
      <c r="F131" s="33">
        <v>494</v>
      </c>
      <c r="G131" s="33">
        <v>14</v>
      </c>
      <c r="H131" s="33">
        <v>6916</v>
      </c>
      <c r="I131" s="37">
        <f t="shared" si="2"/>
        <v>0.12579234078156404</v>
      </c>
      <c r="J131" s="37">
        <f t="shared" si="4"/>
        <v>0.56516519793741304</v>
      </c>
      <c r="K131" s="34" t="str">
        <f t="shared" si="3"/>
        <v>A</v>
      </c>
    </row>
    <row r="132" spans="2:11" ht="15" thickBot="1">
      <c r="B132" s="33" t="s">
        <v>10</v>
      </c>
      <c r="C132" s="33" t="s">
        <v>11</v>
      </c>
      <c r="D132" s="33">
        <v>3730</v>
      </c>
      <c r="E132" s="33">
        <v>4540</v>
      </c>
      <c r="F132" s="33">
        <v>810</v>
      </c>
      <c r="G132" s="33">
        <v>5</v>
      </c>
      <c r="H132" s="33">
        <v>4050</v>
      </c>
      <c r="I132" s="37">
        <f t="shared" si="2"/>
        <v>7.3663820151147252E-2</v>
      </c>
      <c r="J132" s="37">
        <f t="shared" si="4"/>
        <v>0.6388290180885603</v>
      </c>
      <c r="K132" s="34" t="str">
        <f t="shared" si="3"/>
        <v>A</v>
      </c>
    </row>
    <row r="133" spans="2:11" ht="15" thickBot="1">
      <c r="B133" s="33" t="s">
        <v>21</v>
      </c>
      <c r="C133" s="33" t="s">
        <v>22</v>
      </c>
      <c r="D133" s="33">
        <v>3560</v>
      </c>
      <c r="E133" s="33">
        <v>4525</v>
      </c>
      <c r="F133" s="33">
        <v>965</v>
      </c>
      <c r="G133" s="33">
        <v>4</v>
      </c>
      <c r="H133" s="33">
        <v>3860</v>
      </c>
      <c r="I133" s="37">
        <f t="shared" si="2"/>
        <v>7.0207986613192191E-2</v>
      </c>
      <c r="J133" s="37">
        <f t="shared" si="4"/>
        <v>0.70903700470175246</v>
      </c>
      <c r="K133" s="34" t="str">
        <f t="shared" si="3"/>
        <v>A</v>
      </c>
    </row>
    <row r="134" spans="2:11" ht="15" thickBot="1">
      <c r="B134" s="33" t="s">
        <v>38</v>
      </c>
      <c r="C134" s="33" t="s">
        <v>38</v>
      </c>
      <c r="D134" s="33">
        <v>800</v>
      </c>
      <c r="E134" s="33">
        <v>950</v>
      </c>
      <c r="F134" s="33">
        <v>150</v>
      </c>
      <c r="G134" s="33">
        <v>18</v>
      </c>
      <c r="H134" s="33">
        <v>2700</v>
      </c>
      <c r="I134" s="37">
        <f t="shared" si="2"/>
        <v>4.9109213434098166E-2</v>
      </c>
      <c r="J134" s="37">
        <f t="shared" si="4"/>
        <v>0.75814621813585059</v>
      </c>
      <c r="K134" s="34" t="str">
        <f t="shared" si="3"/>
        <v>A</v>
      </c>
    </row>
    <row r="135" spans="2:11" ht="29.4" customHeight="1" thickBot="1">
      <c r="B135" s="33" t="s">
        <v>33</v>
      </c>
      <c r="C135" s="33" t="s">
        <v>34</v>
      </c>
      <c r="D135" s="33">
        <v>540</v>
      </c>
      <c r="E135" s="33">
        <v>623</v>
      </c>
      <c r="F135" s="33">
        <v>83</v>
      </c>
      <c r="G135" s="33">
        <v>28</v>
      </c>
      <c r="H135" s="33">
        <v>2324</v>
      </c>
      <c r="I135" s="37">
        <f t="shared" si="2"/>
        <v>4.227030074846079E-2</v>
      </c>
      <c r="J135" s="37">
        <f t="shared" si="4"/>
        <v>0.80041651888431142</v>
      </c>
      <c r="K135" s="34" t="str">
        <f t="shared" si="3"/>
        <v>B</v>
      </c>
    </row>
    <row r="136" spans="2:11" ht="15" thickBot="1">
      <c r="B136" s="33" t="s">
        <v>31</v>
      </c>
      <c r="C136" s="33" t="s">
        <v>32</v>
      </c>
      <c r="D136" s="33">
        <v>1410</v>
      </c>
      <c r="E136" s="33">
        <v>1650</v>
      </c>
      <c r="F136" s="33">
        <v>240</v>
      </c>
      <c r="G136" s="33">
        <v>7</v>
      </c>
      <c r="H136" s="33">
        <v>1680</v>
      </c>
      <c r="I136" s="37">
        <f t="shared" si="2"/>
        <v>3.0556843914549967E-2</v>
      </c>
      <c r="J136" s="37">
        <f t="shared" si="4"/>
        <v>0.83097336279886136</v>
      </c>
      <c r="K136" s="34" t="str">
        <f t="shared" si="3"/>
        <v>B</v>
      </c>
    </row>
    <row r="137" spans="2:11" ht="15" thickBot="1">
      <c r="B137" s="33" t="s">
        <v>8</v>
      </c>
      <c r="C137" s="33" t="s">
        <v>9</v>
      </c>
      <c r="D137" s="33">
        <v>2720</v>
      </c>
      <c r="E137" s="33">
        <v>3120</v>
      </c>
      <c r="F137" s="33">
        <v>400</v>
      </c>
      <c r="G137" s="33">
        <v>3</v>
      </c>
      <c r="H137" s="33">
        <v>1360</v>
      </c>
      <c r="I137" s="37">
        <f t="shared" si="2"/>
        <v>2.4736492692730927E-2</v>
      </c>
      <c r="J137" s="37">
        <f t="shared" si="4"/>
        <v>0.85570985549159229</v>
      </c>
      <c r="K137" s="34" t="str">
        <f t="shared" si="3"/>
        <v>B</v>
      </c>
    </row>
    <row r="138" spans="2:11" ht="29.4" thickBot="1">
      <c r="B138" s="33" t="s">
        <v>67</v>
      </c>
      <c r="C138" s="33" t="s">
        <v>37</v>
      </c>
      <c r="D138" s="33">
        <v>605</v>
      </c>
      <c r="E138" s="33">
        <v>700</v>
      </c>
      <c r="F138" s="33">
        <v>95</v>
      </c>
      <c r="G138" s="33">
        <v>12</v>
      </c>
      <c r="H138" s="33">
        <v>1200</v>
      </c>
      <c r="I138" s="37">
        <f t="shared" si="2"/>
        <v>2.1826317081821405E-2</v>
      </c>
      <c r="J138" s="37">
        <f t="shared" si="4"/>
        <v>0.87753617257341365</v>
      </c>
      <c r="K138" s="34" t="str">
        <f t="shared" si="3"/>
        <v>B</v>
      </c>
    </row>
    <row r="139" spans="2:11" ht="29.4" thickBot="1">
      <c r="B139" s="33" t="s">
        <v>41</v>
      </c>
      <c r="C139" s="33" t="s">
        <v>42</v>
      </c>
      <c r="D139" s="33">
        <v>757</v>
      </c>
      <c r="E139" s="33">
        <v>850</v>
      </c>
      <c r="F139" s="33">
        <v>93</v>
      </c>
      <c r="G139" s="33">
        <v>12</v>
      </c>
      <c r="H139" s="33">
        <v>1140</v>
      </c>
      <c r="I139" s="37">
        <f t="shared" si="2"/>
        <v>2.0735001227730337E-2</v>
      </c>
      <c r="J139" s="37">
        <f t="shared" si="4"/>
        <v>0.89827117380114396</v>
      </c>
      <c r="K139" s="34" t="str">
        <f t="shared" si="3"/>
        <v>B</v>
      </c>
    </row>
    <row r="140" spans="2:11" ht="15" thickBot="1">
      <c r="B140" s="33" t="s">
        <v>18</v>
      </c>
      <c r="C140" s="33" t="s">
        <v>19</v>
      </c>
      <c r="D140" s="33">
        <v>2480</v>
      </c>
      <c r="E140" s="33">
        <v>2923</v>
      </c>
      <c r="F140" s="33">
        <v>443</v>
      </c>
      <c r="G140" s="33">
        <v>2</v>
      </c>
      <c r="H140" s="33">
        <v>1116</v>
      </c>
      <c r="I140" s="37">
        <f t="shared" si="2"/>
        <v>2.0298474886093907E-2</v>
      </c>
      <c r="J140" s="37">
        <f t="shared" si="4"/>
        <v>0.91856964868723789</v>
      </c>
      <c r="K140" s="34" t="str">
        <f t="shared" si="3"/>
        <v>C</v>
      </c>
    </row>
    <row r="141" spans="2:11" ht="29.4" thickBot="1">
      <c r="B141" s="33" t="s">
        <v>25</v>
      </c>
      <c r="C141" s="33" t="s">
        <v>26</v>
      </c>
      <c r="D141" s="33">
        <v>890</v>
      </c>
      <c r="E141" s="33">
        <v>985</v>
      </c>
      <c r="F141" s="33">
        <v>95</v>
      </c>
      <c r="G141" s="33">
        <v>9</v>
      </c>
      <c r="H141" s="33">
        <v>886</v>
      </c>
      <c r="I141" s="37">
        <f t="shared" si="2"/>
        <v>1.611509744541147E-2</v>
      </c>
      <c r="J141" s="37">
        <f t="shared" si="4"/>
        <v>0.9346847461326494</v>
      </c>
      <c r="K141" s="34" t="str">
        <f t="shared" si="3"/>
        <v>C</v>
      </c>
    </row>
    <row r="142" spans="2:11" ht="29.4" thickBot="1">
      <c r="B142" s="33" t="s">
        <v>6</v>
      </c>
      <c r="C142" s="33" t="s">
        <v>7</v>
      </c>
      <c r="D142" s="33">
        <v>625</v>
      </c>
      <c r="E142" s="33">
        <v>710</v>
      </c>
      <c r="F142" s="33">
        <v>85</v>
      </c>
      <c r="G142" s="33">
        <v>10</v>
      </c>
      <c r="H142" s="33">
        <v>855</v>
      </c>
      <c r="I142" s="37">
        <f t="shared" si="2"/>
        <v>1.5551250920797751E-2</v>
      </c>
      <c r="J142" s="37">
        <f t="shared" si="4"/>
        <v>0.95023599705344719</v>
      </c>
      <c r="K142" s="34" t="str">
        <f t="shared" si="3"/>
        <v>C</v>
      </c>
    </row>
    <row r="143" spans="2:11" ht="29.4" thickBot="1">
      <c r="B143" s="33" t="s">
        <v>12</v>
      </c>
      <c r="C143" s="33" t="s">
        <v>13</v>
      </c>
      <c r="D143" s="33">
        <v>880</v>
      </c>
      <c r="E143" s="33">
        <v>1015</v>
      </c>
      <c r="F143" s="33">
        <v>135</v>
      </c>
      <c r="G143" s="33">
        <v>6</v>
      </c>
      <c r="H143" s="33">
        <v>810</v>
      </c>
      <c r="I143" s="37">
        <f t="shared" si="2"/>
        <v>1.473276403022945E-2</v>
      </c>
      <c r="J143" s="37">
        <f t="shared" si="4"/>
        <v>0.96496876108367668</v>
      </c>
      <c r="K143" s="34" t="str">
        <f t="shared" si="3"/>
        <v>C</v>
      </c>
    </row>
    <row r="144" spans="2:11" ht="15" thickBot="1">
      <c r="B144" s="33" t="s">
        <v>20</v>
      </c>
      <c r="C144" s="33" t="s">
        <v>20</v>
      </c>
      <c r="D144" s="33">
        <v>651</v>
      </c>
      <c r="E144" s="33">
        <v>725</v>
      </c>
      <c r="F144" s="33">
        <v>74</v>
      </c>
      <c r="G144" s="33">
        <v>10</v>
      </c>
      <c r="H144" s="33">
        <v>740</v>
      </c>
      <c r="I144" s="37">
        <f t="shared" si="2"/>
        <v>1.3459562200456535E-2</v>
      </c>
      <c r="J144" s="37">
        <f t="shared" si="4"/>
        <v>0.97842832328413321</v>
      </c>
      <c r="K144" s="34" t="str">
        <f t="shared" si="3"/>
        <v>C</v>
      </c>
    </row>
    <row r="145" spans="2:11" ht="15" thickBot="1">
      <c r="B145" s="33" t="s">
        <v>4</v>
      </c>
      <c r="C145" s="33" t="s">
        <v>5</v>
      </c>
      <c r="D145" s="33">
        <v>2686</v>
      </c>
      <c r="E145" s="33">
        <v>2950</v>
      </c>
      <c r="F145" s="33">
        <v>264</v>
      </c>
      <c r="G145" s="33">
        <v>2</v>
      </c>
      <c r="H145" s="33">
        <v>528</v>
      </c>
      <c r="I145" s="37">
        <f t="shared" si="2"/>
        <v>9.6035795160014179E-3</v>
      </c>
      <c r="J145" s="37">
        <f t="shared" si="4"/>
        <v>0.98803190280013464</v>
      </c>
      <c r="K145" s="34" t="str">
        <f t="shared" si="3"/>
        <v>C</v>
      </c>
    </row>
    <row r="146" spans="2:11" ht="29.4" thickBot="1">
      <c r="B146" s="33" t="s">
        <v>39</v>
      </c>
      <c r="C146" s="33" t="s">
        <v>40</v>
      </c>
      <c r="D146" s="33">
        <v>580</v>
      </c>
      <c r="E146" s="33">
        <v>660</v>
      </c>
      <c r="F146" s="33">
        <v>80</v>
      </c>
      <c r="G146" s="33">
        <v>4</v>
      </c>
      <c r="H146" s="33">
        <v>320</v>
      </c>
      <c r="I146" s="37">
        <f t="shared" si="2"/>
        <v>5.820351221819042E-3</v>
      </c>
      <c r="J146" s="37">
        <f t="shared" si="4"/>
        <v>0.99385225402195365</v>
      </c>
      <c r="K146" s="34" t="str">
        <f t="shared" si="3"/>
        <v>C</v>
      </c>
    </row>
    <row r="147" spans="2:11" ht="29.4" thickBot="1">
      <c r="B147" s="33" t="s">
        <v>27</v>
      </c>
      <c r="C147" s="33" t="s">
        <v>28</v>
      </c>
      <c r="D147" s="33">
        <v>703</v>
      </c>
      <c r="E147" s="33">
        <v>750</v>
      </c>
      <c r="F147" s="33">
        <v>47</v>
      </c>
      <c r="G147" s="33">
        <v>4</v>
      </c>
      <c r="H147" s="33">
        <v>188</v>
      </c>
      <c r="I147" s="37">
        <f t="shared" si="2"/>
        <v>3.419456342818687E-3</v>
      </c>
      <c r="J147" s="37">
        <f t="shared" si="4"/>
        <v>0.99727171036477236</v>
      </c>
      <c r="K147" s="34" t="str">
        <f t="shared" si="3"/>
        <v>C</v>
      </c>
    </row>
    <row r="148" spans="2:11" ht="15" thickBot="1">
      <c r="B148" s="33" t="s">
        <v>29</v>
      </c>
      <c r="C148" s="33" t="s">
        <v>30</v>
      </c>
      <c r="D148" s="33">
        <v>1275</v>
      </c>
      <c r="E148" s="33">
        <v>1425</v>
      </c>
      <c r="F148" s="33">
        <v>150</v>
      </c>
      <c r="G148" s="33">
        <v>1</v>
      </c>
      <c r="H148" s="33">
        <v>150</v>
      </c>
      <c r="I148" s="37">
        <f t="shared" si="2"/>
        <v>2.7282896352276756E-3</v>
      </c>
      <c r="J148" s="37">
        <f t="shared" si="4"/>
        <v>1</v>
      </c>
      <c r="K148" s="34" t="str">
        <f t="shared" si="3"/>
        <v>C</v>
      </c>
    </row>
    <row r="156" spans="2:11" ht="22.8" customHeight="1"/>
    <row r="157" spans="2:11" ht="13.8" customHeight="1"/>
    <row r="158" spans="2:11" ht="23.4" customHeight="1"/>
    <row r="181" spans="2:5">
      <c r="B181" s="43">
        <v>1</v>
      </c>
      <c r="C181" s="43">
        <v>0</v>
      </c>
      <c r="D181" s="43">
        <v>1</v>
      </c>
      <c r="E181" s="43">
        <v>0</v>
      </c>
    </row>
    <row r="182" spans="2:5">
      <c r="B182" s="43">
        <v>1</v>
      </c>
      <c r="C182" s="43">
        <v>0</v>
      </c>
      <c r="D182" s="43">
        <v>0</v>
      </c>
      <c r="E182" s="43">
        <v>0</v>
      </c>
    </row>
    <row r="183" spans="2:5">
      <c r="B183" s="43">
        <v>0</v>
      </c>
      <c r="C183" s="43">
        <v>4</v>
      </c>
      <c r="D183" s="43">
        <v>0</v>
      </c>
      <c r="E183" s="43">
        <v>0</v>
      </c>
    </row>
    <row r="184" spans="2:5">
      <c r="B184" s="43">
        <v>0</v>
      </c>
      <c r="C184" s="43">
        <v>0</v>
      </c>
      <c r="D184" s="43">
        <v>6</v>
      </c>
      <c r="E184" s="43">
        <v>1</v>
      </c>
    </row>
    <row r="185" spans="2:5" ht="14.4" customHeight="1">
      <c r="B185" s="43">
        <v>0</v>
      </c>
      <c r="C185" s="43">
        <v>1</v>
      </c>
      <c r="D185" s="43">
        <v>2</v>
      </c>
      <c r="E185" s="43">
        <v>0</v>
      </c>
    </row>
    <row r="186" spans="2:5">
      <c r="B186" s="43">
        <v>0</v>
      </c>
      <c r="C186" s="43">
        <v>6</v>
      </c>
      <c r="D186" s="43">
        <v>12</v>
      </c>
      <c r="E186" s="43">
        <v>0</v>
      </c>
    </row>
    <row r="187" spans="2:5">
      <c r="B187" s="43">
        <v>0</v>
      </c>
      <c r="C187" s="43">
        <v>0</v>
      </c>
      <c r="D187" s="43">
        <v>0</v>
      </c>
      <c r="E187" s="43">
        <v>10</v>
      </c>
    </row>
    <row r="188" spans="2:5">
      <c r="B188" s="43">
        <v>0</v>
      </c>
      <c r="C188" s="43">
        <v>0</v>
      </c>
      <c r="D188" s="43">
        <v>1</v>
      </c>
      <c r="E188" s="43">
        <v>3</v>
      </c>
    </row>
    <row r="189" spans="2:5">
      <c r="B189" s="43">
        <v>0</v>
      </c>
      <c r="C189" s="43">
        <v>2</v>
      </c>
      <c r="D189" s="43">
        <v>4</v>
      </c>
      <c r="E189" s="43">
        <v>0</v>
      </c>
    </row>
    <row r="190" spans="2:5">
      <c r="B190" s="43">
        <v>2</v>
      </c>
      <c r="C190" s="43">
        <v>1</v>
      </c>
      <c r="D190" s="43">
        <v>5</v>
      </c>
      <c r="E190" s="43">
        <v>4</v>
      </c>
    </row>
    <row r="191" spans="2:5">
      <c r="B191" s="43">
        <v>6</v>
      </c>
      <c r="C191" s="43">
        <v>3</v>
      </c>
      <c r="D191" s="43">
        <v>0</v>
      </c>
      <c r="E191" s="43">
        <v>0</v>
      </c>
    </row>
    <row r="192" spans="2:5">
      <c r="B192" s="43">
        <v>4</v>
      </c>
      <c r="C192" s="43">
        <v>0</v>
      </c>
      <c r="D192" s="43">
        <v>0</v>
      </c>
      <c r="E192" s="43">
        <v>8</v>
      </c>
    </row>
    <row r="193" spans="2:8">
      <c r="B193" s="43">
        <v>4</v>
      </c>
      <c r="C193" s="43">
        <v>0</v>
      </c>
      <c r="D193" s="43">
        <v>0</v>
      </c>
      <c r="E193" s="43">
        <v>0</v>
      </c>
    </row>
    <row r="194" spans="2:8">
      <c r="B194" s="43">
        <v>4</v>
      </c>
      <c r="C194" s="43">
        <v>12</v>
      </c>
      <c r="D194" s="43">
        <v>0</v>
      </c>
      <c r="E194" s="43">
        <v>0</v>
      </c>
    </row>
    <row r="195" spans="2:8">
      <c r="B195" s="43">
        <v>6</v>
      </c>
      <c r="C195" s="43">
        <v>8</v>
      </c>
      <c r="D195" s="43">
        <v>0</v>
      </c>
      <c r="E195" s="43">
        <v>14</v>
      </c>
    </row>
    <row r="196" spans="2:8">
      <c r="B196" s="43">
        <v>0</v>
      </c>
      <c r="C196" s="43">
        <v>5</v>
      </c>
      <c r="D196" s="43">
        <v>4</v>
      </c>
      <c r="E196" s="43">
        <v>5</v>
      </c>
    </row>
    <row r="197" spans="2:8">
      <c r="B197" s="43">
        <v>1</v>
      </c>
      <c r="C197" s="43">
        <v>0</v>
      </c>
      <c r="D197" s="43">
        <v>9</v>
      </c>
      <c r="E197" s="43">
        <v>4</v>
      </c>
    </row>
    <row r="198" spans="2:8">
      <c r="B198" s="43">
        <v>2</v>
      </c>
      <c r="C198" s="43">
        <v>3</v>
      </c>
      <c r="D198" s="43">
        <v>0</v>
      </c>
      <c r="E198" s="43">
        <v>0</v>
      </c>
    </row>
    <row r="199" spans="2:8">
      <c r="B199" s="43">
        <v>3</v>
      </c>
      <c r="C199" s="43">
        <v>2</v>
      </c>
      <c r="D199" s="43">
        <v>3</v>
      </c>
      <c r="E199" s="43">
        <v>0</v>
      </c>
    </row>
    <row r="200" spans="2:8">
      <c r="B200" s="43">
        <v>1</v>
      </c>
      <c r="C200" s="43">
        <v>0</v>
      </c>
      <c r="D200" s="43">
        <v>0</v>
      </c>
      <c r="E200" s="43">
        <v>1</v>
      </c>
    </row>
    <row r="201" spans="2:8">
      <c r="B201" s="43">
        <v>0</v>
      </c>
      <c r="C201" s="43">
        <v>0</v>
      </c>
      <c r="D201" s="43">
        <v>32.430000000000007</v>
      </c>
      <c r="E201" s="43">
        <v>19.880000000000003</v>
      </c>
    </row>
    <row r="205" spans="2:8" ht="23.4">
      <c r="B205" s="59" t="s">
        <v>172</v>
      </c>
      <c r="C205" s="59"/>
      <c r="D205" s="59"/>
      <c r="E205" s="59"/>
      <c r="F205" s="59"/>
      <c r="G205" s="59"/>
      <c r="H205" s="59"/>
    </row>
    <row r="208" spans="2:8" ht="57.6">
      <c r="B208" s="6" t="s">
        <v>136</v>
      </c>
      <c r="C208" s="6" t="s">
        <v>137</v>
      </c>
      <c r="D208" s="6" t="s">
        <v>171</v>
      </c>
      <c r="E208" s="6" t="s">
        <v>173</v>
      </c>
    </row>
    <row r="209" spans="2:5" ht="57.6">
      <c r="B209" s="44">
        <v>45748</v>
      </c>
      <c r="C209" s="45">
        <v>55581</v>
      </c>
      <c r="D209" s="7">
        <v>0</v>
      </c>
      <c r="E209" s="7" t="s">
        <v>174</v>
      </c>
    </row>
    <row r="210" spans="2:5" ht="43.2">
      <c r="B210" s="44">
        <v>45778</v>
      </c>
      <c r="C210" s="45">
        <v>86578</v>
      </c>
      <c r="D210" s="7">
        <v>0</v>
      </c>
      <c r="E210" s="7" t="s">
        <v>175</v>
      </c>
    </row>
    <row r="211" spans="2:5" ht="57.6">
      <c r="B211" s="44">
        <v>45809</v>
      </c>
      <c r="C211" s="45">
        <v>138214</v>
      </c>
      <c r="D211" s="45">
        <v>93457</v>
      </c>
      <c r="E211" s="7" t="s">
        <v>176</v>
      </c>
    </row>
    <row r="212" spans="2:5" ht="43.2">
      <c r="B212" s="44">
        <v>45839</v>
      </c>
      <c r="C212" s="45">
        <v>88779</v>
      </c>
      <c r="D212" s="45">
        <v>104524</v>
      </c>
      <c r="E212" s="7" t="s">
        <v>177</v>
      </c>
    </row>
    <row r="213" spans="2:5">
      <c r="B213" s="44"/>
      <c r="C213" s="45"/>
      <c r="D213" s="45"/>
    </row>
    <row r="242" spans="2:6" ht="23.4">
      <c r="B242" s="58" t="s">
        <v>186</v>
      </c>
      <c r="C242" s="58"/>
      <c r="D242" s="58"/>
      <c r="E242" s="58"/>
    </row>
    <row r="244" spans="2:6" ht="43.2">
      <c r="B244" s="54" t="s">
        <v>1</v>
      </c>
      <c r="C244" s="54" t="s">
        <v>170</v>
      </c>
      <c r="D244" s="54" t="s">
        <v>195</v>
      </c>
      <c r="E244" s="54" t="s">
        <v>196</v>
      </c>
      <c r="F244" s="54" t="s">
        <v>182</v>
      </c>
    </row>
    <row r="245" spans="2:6" ht="57.6">
      <c r="B245" s="55" t="s">
        <v>23</v>
      </c>
      <c r="C245" s="55" t="s">
        <v>183</v>
      </c>
      <c r="D245" s="55" t="s">
        <v>179</v>
      </c>
      <c r="E245" s="55" t="s">
        <v>197</v>
      </c>
      <c r="F245" s="55" t="s">
        <v>198</v>
      </c>
    </row>
    <row r="246" spans="2:6" ht="43.2">
      <c r="B246" s="55" t="s">
        <v>16</v>
      </c>
      <c r="C246" s="55" t="s">
        <v>183</v>
      </c>
      <c r="D246" s="55" t="s">
        <v>179</v>
      </c>
      <c r="E246" s="55" t="s">
        <v>199</v>
      </c>
      <c r="F246" s="55" t="s">
        <v>200</v>
      </c>
    </row>
    <row r="247" spans="2:6" ht="57.6">
      <c r="B247" s="55" t="s">
        <v>35</v>
      </c>
      <c r="C247" s="55" t="s">
        <v>183</v>
      </c>
      <c r="D247" s="55" t="s">
        <v>181</v>
      </c>
      <c r="E247" s="55" t="s">
        <v>201</v>
      </c>
      <c r="F247" s="55" t="s">
        <v>202</v>
      </c>
    </row>
    <row r="248" spans="2:6" ht="57.6">
      <c r="B248" s="55" t="s">
        <v>14</v>
      </c>
      <c r="C248" s="55" t="s">
        <v>183</v>
      </c>
      <c r="D248" s="55" t="s">
        <v>180</v>
      </c>
      <c r="E248" s="55" t="s">
        <v>203</v>
      </c>
      <c r="F248" s="55" t="s">
        <v>204</v>
      </c>
    </row>
    <row r="249" spans="2:6" ht="57.6">
      <c r="B249" s="55" t="s">
        <v>33</v>
      </c>
      <c r="C249" s="55" t="s">
        <v>183</v>
      </c>
      <c r="D249" s="55" t="s">
        <v>179</v>
      </c>
      <c r="E249" s="55" t="s">
        <v>205</v>
      </c>
      <c r="F249" s="55" t="s">
        <v>206</v>
      </c>
    </row>
    <row r="250" spans="2:6" ht="43.2">
      <c r="B250" s="55" t="s">
        <v>31</v>
      </c>
      <c r="C250" s="55" t="s">
        <v>183</v>
      </c>
      <c r="D250" s="55" t="s">
        <v>179</v>
      </c>
      <c r="E250" s="55" t="s">
        <v>207</v>
      </c>
      <c r="F250" s="55" t="s">
        <v>208</v>
      </c>
    </row>
    <row r="251" spans="2:6" ht="43.2">
      <c r="B251" s="55" t="s">
        <v>10</v>
      </c>
      <c r="C251" s="55" t="s">
        <v>183</v>
      </c>
      <c r="D251" s="55" t="s">
        <v>194</v>
      </c>
      <c r="E251" s="55" t="s">
        <v>209</v>
      </c>
      <c r="F251" s="55" t="s">
        <v>210</v>
      </c>
    </row>
    <row r="252" spans="2:6" ht="72">
      <c r="B252" s="55" t="s">
        <v>41</v>
      </c>
      <c r="C252" s="55" t="s">
        <v>183</v>
      </c>
      <c r="D252" s="55" t="s">
        <v>179</v>
      </c>
      <c r="E252" s="55" t="s">
        <v>211</v>
      </c>
      <c r="F252" s="55" t="s">
        <v>212</v>
      </c>
    </row>
    <row r="253" spans="2:6" ht="43.2">
      <c r="B253" s="55" t="s">
        <v>38</v>
      </c>
      <c r="C253" s="55" t="s">
        <v>183</v>
      </c>
      <c r="D253" s="55" t="s">
        <v>179</v>
      </c>
      <c r="E253" s="55" t="s">
        <v>213</v>
      </c>
      <c r="F253" s="55" t="s">
        <v>214</v>
      </c>
    </row>
    <row r="254" spans="2:6" ht="57.6">
      <c r="B254" s="55" t="s">
        <v>21</v>
      </c>
      <c r="C254" s="55" t="s">
        <v>183</v>
      </c>
      <c r="D254" s="55" t="s">
        <v>194</v>
      </c>
      <c r="E254" s="55" t="s">
        <v>215</v>
      </c>
      <c r="F254" s="55" t="s">
        <v>216</v>
      </c>
    </row>
    <row r="255" spans="2:6" ht="57.6">
      <c r="B255" s="55" t="s">
        <v>8</v>
      </c>
      <c r="C255" s="55" t="s">
        <v>183</v>
      </c>
      <c r="D255" s="55" t="s">
        <v>194</v>
      </c>
      <c r="E255" s="55" t="s">
        <v>217</v>
      </c>
      <c r="F255" s="55" t="s">
        <v>218</v>
      </c>
    </row>
    <row r="256" spans="2:6" ht="43.2">
      <c r="B256" s="55" t="s">
        <v>67</v>
      </c>
      <c r="C256" s="55" t="s">
        <v>184</v>
      </c>
      <c r="D256" s="55" t="s">
        <v>181</v>
      </c>
      <c r="E256" s="55" t="s">
        <v>219</v>
      </c>
      <c r="F256" s="55" t="s">
        <v>220</v>
      </c>
    </row>
    <row r="257" spans="2:13" ht="57.6" customHeight="1">
      <c r="B257" s="55" t="s">
        <v>25</v>
      </c>
      <c r="C257" s="55" t="s">
        <v>184</v>
      </c>
      <c r="D257" s="55" t="s">
        <v>179</v>
      </c>
      <c r="E257" s="55" t="s">
        <v>221</v>
      </c>
      <c r="F257" s="55" t="s">
        <v>222</v>
      </c>
    </row>
    <row r="258" spans="2:13" ht="43.2">
      <c r="B258" s="55" t="s">
        <v>6</v>
      </c>
      <c r="C258" s="55" t="s">
        <v>184</v>
      </c>
      <c r="D258" s="55" t="s">
        <v>179</v>
      </c>
      <c r="E258" s="55" t="s">
        <v>223</v>
      </c>
      <c r="F258" s="55" t="s">
        <v>224</v>
      </c>
    </row>
    <row r="259" spans="2:13" ht="43.2">
      <c r="B259" s="55" t="s">
        <v>18</v>
      </c>
      <c r="C259" s="55" t="s">
        <v>184</v>
      </c>
      <c r="D259" s="55" t="s">
        <v>194</v>
      </c>
      <c r="E259" s="55" t="s">
        <v>225</v>
      </c>
      <c r="F259" s="55" t="s">
        <v>226</v>
      </c>
    </row>
    <row r="260" spans="2:13" ht="57.6" customHeight="1">
      <c r="B260" s="55" t="s">
        <v>20</v>
      </c>
      <c r="C260" s="55" t="s">
        <v>184</v>
      </c>
      <c r="D260" s="55" t="s">
        <v>179</v>
      </c>
      <c r="E260" s="55" t="s">
        <v>227</v>
      </c>
      <c r="F260" s="55" t="s">
        <v>228</v>
      </c>
    </row>
    <row r="261" spans="2:13" ht="43.2">
      <c r="B261" s="55" t="s">
        <v>12</v>
      </c>
      <c r="C261" s="55" t="s">
        <v>185</v>
      </c>
      <c r="D261" s="55" t="s">
        <v>180</v>
      </c>
      <c r="E261" s="55" t="s">
        <v>229</v>
      </c>
      <c r="F261" s="55" t="s">
        <v>230</v>
      </c>
    </row>
    <row r="262" spans="2:13" ht="28.8" customHeight="1">
      <c r="B262" s="55" t="s">
        <v>27</v>
      </c>
      <c r="C262" s="55" t="s">
        <v>185</v>
      </c>
      <c r="D262" s="55" t="s">
        <v>179</v>
      </c>
      <c r="E262" s="55" t="s">
        <v>231</v>
      </c>
      <c r="F262" s="55" t="s">
        <v>232</v>
      </c>
    </row>
    <row r="263" spans="2:13" ht="14.4" customHeight="1">
      <c r="B263" s="55" t="s">
        <v>4</v>
      </c>
      <c r="C263" s="55" t="s">
        <v>185</v>
      </c>
      <c r="D263" s="55" t="s">
        <v>194</v>
      </c>
      <c r="E263" s="55" t="s">
        <v>233</v>
      </c>
      <c r="F263" s="55" t="s">
        <v>234</v>
      </c>
    </row>
    <row r="264" spans="2:13" ht="28.8" customHeight="1">
      <c r="B264" s="55" t="s">
        <v>39</v>
      </c>
      <c r="C264" s="55" t="s">
        <v>185</v>
      </c>
      <c r="D264" s="55" t="s">
        <v>179</v>
      </c>
      <c r="E264" s="55" t="s">
        <v>235</v>
      </c>
      <c r="F264" s="55" t="s">
        <v>236</v>
      </c>
      <c r="J264">
        <f>1996/54979.5</f>
        <v>3.6304440746096275E-2</v>
      </c>
    </row>
    <row r="265" spans="2:13" ht="43.2" customHeight="1">
      <c r="B265" s="55" t="s">
        <v>29</v>
      </c>
      <c r="C265" s="55" t="s">
        <v>185</v>
      </c>
      <c r="D265" s="55" t="s">
        <v>194</v>
      </c>
      <c r="E265" s="55" t="s">
        <v>237</v>
      </c>
      <c r="F265" s="55" t="s">
        <v>238</v>
      </c>
    </row>
    <row r="266" spans="2:13" ht="43.2" customHeight="1"/>
    <row r="267" spans="2:13" ht="21">
      <c r="G267" s="57" t="s">
        <v>188</v>
      </c>
      <c r="H267" s="57"/>
      <c r="I267" s="57"/>
      <c r="J267" s="57"/>
      <c r="K267" s="57"/>
      <c r="L267" s="57"/>
    </row>
    <row r="269" spans="2:13">
      <c r="B269" s="51" t="s">
        <v>1</v>
      </c>
      <c r="C269" s="51" t="s">
        <v>103</v>
      </c>
      <c r="D269" s="51" t="s">
        <v>163</v>
      </c>
      <c r="E269" s="51" t="s">
        <v>162</v>
      </c>
      <c r="F269" s="51" t="s">
        <v>164</v>
      </c>
      <c r="G269" s="51" t="s">
        <v>165</v>
      </c>
      <c r="H269" s="51" t="s">
        <v>166</v>
      </c>
      <c r="I269" s="51" t="s">
        <v>167</v>
      </c>
      <c r="J269" s="51" t="s">
        <v>168</v>
      </c>
      <c r="K269" s="51" t="s">
        <v>169</v>
      </c>
      <c r="L269" s="51" t="s">
        <v>49</v>
      </c>
      <c r="M269" s="51" t="s">
        <v>170</v>
      </c>
    </row>
    <row r="270" spans="2:13">
      <c r="B270" s="52" t="s">
        <v>23</v>
      </c>
      <c r="C270" s="53">
        <v>7350</v>
      </c>
      <c r="D270" s="53">
        <v>6</v>
      </c>
      <c r="E270" s="53">
        <v>14</v>
      </c>
      <c r="F270" s="53">
        <v>3.5</v>
      </c>
      <c r="G270" s="53">
        <v>0.14285714285714285</v>
      </c>
      <c r="H270" s="53">
        <v>0.81725312145289442</v>
      </c>
      <c r="I270" s="53">
        <v>1</v>
      </c>
      <c r="J270" s="53">
        <v>0.99955721991143676</v>
      </c>
      <c r="K270" s="53">
        <v>0.9267684145545888</v>
      </c>
      <c r="L270" s="53">
        <f>K270/SUM($K$270:$K$290)</f>
        <v>8.3777068988365108E-2</v>
      </c>
      <c r="M270" s="52" t="str">
        <f>IF(L270&lt;=0.7, "A", IF(L270&lt;=0.9, "B", "C"))</f>
        <v>A</v>
      </c>
    </row>
    <row r="271" spans="2:13">
      <c r="B271" s="52" t="s">
        <v>16</v>
      </c>
      <c r="C271" s="53">
        <v>6916</v>
      </c>
      <c r="D271" s="53">
        <v>6</v>
      </c>
      <c r="E271" s="53">
        <v>14</v>
      </c>
      <c r="F271" s="53">
        <v>3.5</v>
      </c>
      <c r="G271" s="53">
        <v>0.49487165930539351</v>
      </c>
      <c r="H271" s="53">
        <v>0.76799091940976161</v>
      </c>
      <c r="I271" s="53">
        <v>1</v>
      </c>
      <c r="J271" s="53">
        <v>0.99317094709392029</v>
      </c>
      <c r="K271" s="53">
        <v>0.9051476518920808</v>
      </c>
      <c r="L271" s="53">
        <f>SUM($K$270:K271)/SUM($K$270:$K$290)</f>
        <v>0.16559968625318011</v>
      </c>
      <c r="M271" s="52" t="str">
        <f t="shared" ref="M271:M290" si="5">IF(L271&lt;=0.7, "A", IF(L271&lt;=0.9, "B", "C"))</f>
        <v>A</v>
      </c>
    </row>
    <row r="272" spans="2:13">
      <c r="B272" s="52" t="s">
        <v>35</v>
      </c>
      <c r="C272" s="53">
        <v>7846.5</v>
      </c>
      <c r="D272" s="53">
        <v>5</v>
      </c>
      <c r="E272" s="53">
        <v>52.310000000000009</v>
      </c>
      <c r="F272" s="53">
        <v>13.077500000000002</v>
      </c>
      <c r="G272" s="53">
        <v>0.1902097948970789</v>
      </c>
      <c r="H272" s="53">
        <v>0.87360953461975033</v>
      </c>
      <c r="I272" s="53">
        <v>0.8</v>
      </c>
      <c r="J272" s="53">
        <v>0.99869814467325857</v>
      </c>
      <c r="K272" s="53">
        <v>0.88905325724987772</v>
      </c>
      <c r="L272" s="53">
        <f>SUM($K$270:K272)/SUM($K$270:$K$290)</f>
        <v>0.24596741879265213</v>
      </c>
      <c r="M272" s="52" t="str">
        <f t="shared" si="5"/>
        <v>A</v>
      </c>
    </row>
    <row r="273" spans="2:13">
      <c r="B273" s="52" t="s">
        <v>14</v>
      </c>
      <c r="C273" s="53">
        <v>8960</v>
      </c>
      <c r="D273" s="53">
        <v>4</v>
      </c>
      <c r="E273" s="53">
        <v>8</v>
      </c>
      <c r="F273" s="53">
        <v>2</v>
      </c>
      <c r="G273" s="53">
        <v>0.21650635094610965</v>
      </c>
      <c r="H273" s="53">
        <v>1</v>
      </c>
      <c r="I273" s="53">
        <v>0.6</v>
      </c>
      <c r="J273" s="53">
        <v>0.99822107065146914</v>
      </c>
      <c r="K273" s="53">
        <v>0.87946632119544077</v>
      </c>
      <c r="L273" s="53">
        <f>SUM($K$270:K273)/SUM($K$270:$K$290)</f>
        <v>0.32546852123273129</v>
      </c>
      <c r="M273" s="52" t="str">
        <f t="shared" si="5"/>
        <v>A</v>
      </c>
    </row>
    <row r="274" spans="2:13">
      <c r="B274" s="52" t="s">
        <v>33</v>
      </c>
      <c r="C274" s="53">
        <v>2324</v>
      </c>
      <c r="D274" s="53">
        <v>6</v>
      </c>
      <c r="E274" s="53">
        <v>28</v>
      </c>
      <c r="F274" s="53">
        <v>7</v>
      </c>
      <c r="G274" s="53">
        <v>0.11845088536983571</v>
      </c>
      <c r="H274" s="53">
        <v>0.24676503972758229</v>
      </c>
      <c r="I274" s="53">
        <v>1</v>
      </c>
      <c r="J274" s="53">
        <v>1</v>
      </c>
      <c r="K274" s="53">
        <v>0.69870601589103298</v>
      </c>
      <c r="L274" s="53">
        <f>SUM($K$270:K274)/SUM($K$270:$K$290)</f>
        <v>0.38862943735439409</v>
      </c>
      <c r="M274" s="52" t="str">
        <f t="shared" si="5"/>
        <v>A</v>
      </c>
    </row>
    <row r="275" spans="2:13">
      <c r="B275" s="52" t="s">
        <v>31</v>
      </c>
      <c r="C275" s="53">
        <v>1680</v>
      </c>
      <c r="D275" s="53">
        <v>5</v>
      </c>
      <c r="E275" s="53">
        <v>7</v>
      </c>
      <c r="F275" s="53">
        <v>1.75</v>
      </c>
      <c r="G275" s="53">
        <v>0.94760708295868568</v>
      </c>
      <c r="H275" s="53">
        <v>0.17366628830874006</v>
      </c>
      <c r="I275" s="53">
        <v>0.8</v>
      </c>
      <c r="J275" s="53">
        <v>0.9849573882930609</v>
      </c>
      <c r="K275" s="53">
        <v>0.60495373181141421</v>
      </c>
      <c r="L275" s="53">
        <f>SUM($K$270:K275)/SUM($K$270:$K$290)</f>
        <v>0.44331542980817396</v>
      </c>
      <c r="M275" s="52" t="str">
        <f t="shared" si="5"/>
        <v>A</v>
      </c>
    </row>
    <row r="276" spans="2:13">
      <c r="B276" s="52" t="s">
        <v>10</v>
      </c>
      <c r="C276" s="53">
        <v>4050</v>
      </c>
      <c r="D276" s="53">
        <v>3</v>
      </c>
      <c r="E276" s="53">
        <v>5</v>
      </c>
      <c r="F276" s="53">
        <v>1.25</v>
      </c>
      <c r="G276" s="53">
        <v>3.4641016151377548</v>
      </c>
      <c r="H276" s="53">
        <v>0.44267877412031781</v>
      </c>
      <c r="I276" s="53">
        <v>0.4</v>
      </c>
      <c r="J276" s="53">
        <v>0.93930296248006595</v>
      </c>
      <c r="K276" s="53">
        <v>0.57886239839214682</v>
      </c>
      <c r="L276" s="53">
        <f>SUM($K$270:K276)/SUM($K$270:$K$290)</f>
        <v>0.49564284442790563</v>
      </c>
      <c r="M276" s="52" t="str">
        <f t="shared" si="5"/>
        <v>A</v>
      </c>
    </row>
    <row r="277" spans="2:13">
      <c r="B277" s="52" t="s">
        <v>41</v>
      </c>
      <c r="C277" s="53">
        <v>1140</v>
      </c>
      <c r="D277" s="53">
        <v>5</v>
      </c>
      <c r="E277" s="53">
        <v>12</v>
      </c>
      <c r="F277" s="53">
        <v>3</v>
      </c>
      <c r="G277" s="53">
        <v>1.6583123951776999</v>
      </c>
      <c r="H277" s="53">
        <v>0.11237230419977298</v>
      </c>
      <c r="I277" s="53">
        <v>0.8</v>
      </c>
      <c r="J277" s="53">
        <v>0.97206372111568451</v>
      </c>
      <c r="K277" s="53">
        <v>0.57656803801461454</v>
      </c>
      <c r="L277" s="53">
        <f>SUM($K$270:K277)/SUM($K$270:$K$290)</f>
        <v>0.54776285579067041</v>
      </c>
      <c r="M277" s="52" t="str">
        <f t="shared" si="5"/>
        <v>A</v>
      </c>
    </row>
    <row r="278" spans="2:13">
      <c r="B278" s="52" t="s">
        <v>38</v>
      </c>
      <c r="C278" s="53">
        <v>2700</v>
      </c>
      <c r="D278" s="53">
        <v>3</v>
      </c>
      <c r="E278" s="53">
        <v>18</v>
      </c>
      <c r="F278" s="53">
        <v>4.5</v>
      </c>
      <c r="G278" s="53">
        <v>0.27216552697590868</v>
      </c>
      <c r="H278" s="53">
        <v>0.28944381384790013</v>
      </c>
      <c r="I278" s="53">
        <v>0.4</v>
      </c>
      <c r="J278" s="53">
        <v>0.99721129785428198</v>
      </c>
      <c r="K278" s="53">
        <v>0.5349409148954446</v>
      </c>
      <c r="L278" s="53">
        <f>SUM($K$270:K278)/SUM($K$270:$K$290)</f>
        <v>0.59611990079574173</v>
      </c>
      <c r="M278" s="52" t="str">
        <f t="shared" si="5"/>
        <v>A</v>
      </c>
    </row>
    <row r="279" spans="2:13">
      <c r="B279" s="52" t="s">
        <v>21</v>
      </c>
      <c r="C279" s="53">
        <v>3860</v>
      </c>
      <c r="D279" s="53">
        <v>2</v>
      </c>
      <c r="E279" s="53">
        <v>4</v>
      </c>
      <c r="F279" s="53">
        <v>1</v>
      </c>
      <c r="G279" s="53">
        <v>3.5</v>
      </c>
      <c r="H279" s="53">
        <v>0.42111237230419979</v>
      </c>
      <c r="I279" s="53">
        <v>0.2</v>
      </c>
      <c r="J279" s="53">
        <v>0.93865169138547688</v>
      </c>
      <c r="K279" s="53">
        <v>0.51004045633732298</v>
      </c>
      <c r="L279" s="53">
        <f>SUM($K$270:K279)/SUM($K$270:$K$290)</f>
        <v>0.64222601946182212</v>
      </c>
      <c r="M279" s="52" t="str">
        <f t="shared" si="5"/>
        <v>A</v>
      </c>
    </row>
    <row r="280" spans="2:13">
      <c r="B280" s="52" t="s">
        <v>8</v>
      </c>
      <c r="C280" s="53">
        <v>1360</v>
      </c>
      <c r="D280" s="53">
        <v>3</v>
      </c>
      <c r="E280" s="53">
        <v>3</v>
      </c>
      <c r="F280" s="53">
        <v>0.75</v>
      </c>
      <c r="G280" s="53">
        <v>2.1081851067789197</v>
      </c>
      <c r="H280" s="53">
        <v>0.13734392735527809</v>
      </c>
      <c r="I280" s="53">
        <v>0.4</v>
      </c>
      <c r="J280" s="53">
        <v>0.96390209784392478</v>
      </c>
      <c r="K280" s="53">
        <v>0.46410820029528865</v>
      </c>
      <c r="L280" s="53">
        <f>SUM($K$270:K280)/SUM($K$270:$K$290)</f>
        <v>0.68418000074083574</v>
      </c>
      <c r="M280" s="52" t="str">
        <f t="shared" si="5"/>
        <v>A</v>
      </c>
    </row>
    <row r="281" spans="2:13">
      <c r="B281" s="52" t="s">
        <v>67</v>
      </c>
      <c r="C281" s="53">
        <v>1200</v>
      </c>
      <c r="D281" s="53">
        <v>3</v>
      </c>
      <c r="E281" s="53">
        <v>12</v>
      </c>
      <c r="F281" s="53">
        <v>3</v>
      </c>
      <c r="G281" s="53">
        <v>0.82915619758884995</v>
      </c>
      <c r="H281" s="53">
        <v>0.1191827468785471</v>
      </c>
      <c r="I281" s="53">
        <v>0.4</v>
      </c>
      <c r="J281" s="53">
        <v>0.98710633282262361</v>
      </c>
      <c r="K281" s="53">
        <v>0.4638049985982059</v>
      </c>
      <c r="L281" s="53">
        <f>SUM($K$270:K281)/SUM($K$270:$K$290)</f>
        <v>0.72610657350107066</v>
      </c>
      <c r="M281" s="52" t="str">
        <f t="shared" si="5"/>
        <v>B</v>
      </c>
    </row>
    <row r="282" spans="2:13">
      <c r="B282" s="52" t="s">
        <v>25</v>
      </c>
      <c r="C282" s="53">
        <v>886</v>
      </c>
      <c r="D282" s="53">
        <v>3</v>
      </c>
      <c r="E282" s="53">
        <v>9</v>
      </c>
      <c r="F282" s="53">
        <v>2.25</v>
      </c>
      <c r="G282" s="53">
        <v>1.4740554623801776</v>
      </c>
      <c r="H282" s="53">
        <v>8.3541430192962549E-2</v>
      </c>
      <c r="I282" s="53">
        <v>0.4</v>
      </c>
      <c r="J282" s="53">
        <v>0.97540652371722647</v>
      </c>
      <c r="K282" s="53">
        <v>0.44603852919235293</v>
      </c>
      <c r="L282" s="53">
        <f>SUM($K$270:K282)/SUM($K$270:$K$290)</f>
        <v>0.76642711102130534</v>
      </c>
      <c r="M282" s="52" t="str">
        <f t="shared" si="5"/>
        <v>B</v>
      </c>
    </row>
    <row r="283" spans="2:13">
      <c r="B283" s="52" t="s">
        <v>6</v>
      </c>
      <c r="C283" s="53">
        <v>855</v>
      </c>
      <c r="D283" s="53">
        <v>3</v>
      </c>
      <c r="E283" s="53">
        <v>16</v>
      </c>
      <c r="F283" s="53">
        <v>4</v>
      </c>
      <c r="G283" s="53">
        <v>1.2247448713915889</v>
      </c>
      <c r="H283" s="53">
        <v>8.0022701475595912E-2</v>
      </c>
      <c r="I283" s="53">
        <v>0.4</v>
      </c>
      <c r="J283" s="53">
        <v>0.97992953449079911</v>
      </c>
      <c r="K283" s="53">
        <v>0.44598794093747812</v>
      </c>
      <c r="L283" s="53">
        <f>SUM($K$270:K283)/SUM($K$270:$K$290)</f>
        <v>0.80674307551590374</v>
      </c>
      <c r="M283" s="52" t="str">
        <f t="shared" si="5"/>
        <v>B</v>
      </c>
    </row>
    <row r="284" spans="2:13">
      <c r="B284" s="52" t="s">
        <v>18</v>
      </c>
      <c r="C284" s="53">
        <v>1116</v>
      </c>
      <c r="D284" s="53">
        <v>2</v>
      </c>
      <c r="E284" s="53">
        <v>2</v>
      </c>
      <c r="F284" s="53">
        <v>0.5</v>
      </c>
      <c r="G284" s="53">
        <v>3.4641016151377544</v>
      </c>
      <c r="H284" s="53">
        <v>0.10964812712826334</v>
      </c>
      <c r="I284" s="53">
        <v>0.2</v>
      </c>
      <c r="J284" s="53">
        <v>0.93930296248006595</v>
      </c>
      <c r="K284" s="53">
        <v>0.38565013959532513</v>
      </c>
      <c r="L284" s="53">
        <f>SUM($K$270:K284)/SUM($K$270:$K$290)</f>
        <v>0.84160468478403783</v>
      </c>
      <c r="M284" s="52" t="str">
        <f t="shared" si="5"/>
        <v>B</v>
      </c>
    </row>
    <row r="285" spans="2:13">
      <c r="B285" s="52" t="s">
        <v>20</v>
      </c>
      <c r="C285" s="53">
        <v>740</v>
      </c>
      <c r="D285" s="53">
        <v>2</v>
      </c>
      <c r="E285" s="53">
        <v>10</v>
      </c>
      <c r="F285" s="53">
        <v>2.5</v>
      </c>
      <c r="G285" s="53">
        <v>0.4898979485566356</v>
      </c>
      <c r="H285" s="53">
        <v>6.6969353007945515E-2</v>
      </c>
      <c r="I285" s="53">
        <v>0.2</v>
      </c>
      <c r="J285" s="53">
        <v>0.99326118051405732</v>
      </c>
      <c r="K285" s="53">
        <v>0.38476609535739537</v>
      </c>
      <c r="L285" s="53">
        <f>SUM($K$270:K285)/SUM($K$270:$K$290)</f>
        <v>0.87638637911986883</v>
      </c>
      <c r="M285" s="52" t="str">
        <f t="shared" si="5"/>
        <v>B</v>
      </c>
    </row>
    <row r="286" spans="2:13">
      <c r="B286" s="52" t="s">
        <v>12</v>
      </c>
      <c r="C286" s="53">
        <v>810</v>
      </c>
      <c r="D286" s="53">
        <v>2</v>
      </c>
      <c r="E286" s="53">
        <v>6</v>
      </c>
      <c r="F286" s="53">
        <v>1.5</v>
      </c>
      <c r="G286" s="53">
        <v>1.3743685418725535</v>
      </c>
      <c r="H286" s="53">
        <v>7.4914869466515321E-2</v>
      </c>
      <c r="I286" s="53">
        <v>0.2</v>
      </c>
      <c r="J286" s="53">
        <v>0.97721505103911999</v>
      </c>
      <c r="K286" s="53">
        <v>0.38313046309834209</v>
      </c>
      <c r="L286" s="53">
        <f>SUM($K$270:K286)/SUM($K$270:$K$290)</f>
        <v>0.91102021723352566</v>
      </c>
      <c r="M286" s="52" t="str">
        <f t="shared" si="5"/>
        <v>C</v>
      </c>
    </row>
    <row r="287" spans="2:13">
      <c r="B287" s="52" t="s">
        <v>27</v>
      </c>
      <c r="C287" s="53">
        <v>188</v>
      </c>
      <c r="D287" s="53">
        <v>2</v>
      </c>
      <c r="E287" s="53">
        <v>4</v>
      </c>
      <c r="F287" s="53">
        <v>1</v>
      </c>
      <c r="G287" s="53">
        <v>1.299038105676658</v>
      </c>
      <c r="H287" s="53">
        <v>4.3132803632236092E-3</v>
      </c>
      <c r="I287" s="53">
        <v>0.2</v>
      </c>
      <c r="J287" s="53">
        <v>0.97858170126100141</v>
      </c>
      <c r="K287" s="53">
        <v>0.35529982252358983</v>
      </c>
      <c r="L287" s="53">
        <f>SUM($K$270:K287)/SUM($K$270:$K$290)</f>
        <v>0.94313824939306823</v>
      </c>
      <c r="M287" s="52" t="str">
        <f t="shared" si="5"/>
        <v>C</v>
      </c>
    </row>
    <row r="288" spans="2:13">
      <c r="B288" s="52" t="s">
        <v>4</v>
      </c>
      <c r="C288" s="53">
        <v>528</v>
      </c>
      <c r="D288" s="53">
        <v>2</v>
      </c>
      <c r="E288" s="53">
        <v>2</v>
      </c>
      <c r="F288" s="53">
        <v>0.5</v>
      </c>
      <c r="G288" s="53">
        <v>10</v>
      </c>
      <c r="H288" s="53">
        <v>4.2905788876276961E-2</v>
      </c>
      <c r="I288" s="53">
        <v>0.2</v>
      </c>
      <c r="J288" s="53">
        <v>0.82072822126074585</v>
      </c>
      <c r="K288" s="53">
        <v>0.32338078192873454</v>
      </c>
      <c r="L288" s="53">
        <f>SUM($K$270:K288)/SUM($K$270:$K$290)</f>
        <v>0.97237089656973719</v>
      </c>
      <c r="M288" s="52" t="str">
        <f t="shared" si="5"/>
        <v>C</v>
      </c>
    </row>
    <row r="289" spans="1:14">
      <c r="B289" s="52" t="s">
        <v>39</v>
      </c>
      <c r="C289" s="53">
        <v>320</v>
      </c>
      <c r="D289" s="53">
        <v>1</v>
      </c>
      <c r="E289" s="53">
        <v>4</v>
      </c>
      <c r="F289" s="53">
        <v>1</v>
      </c>
      <c r="G289" s="53">
        <v>0.5</v>
      </c>
      <c r="H289" s="53">
        <v>1.9296254256526674E-2</v>
      </c>
      <c r="I289" s="53">
        <v>0</v>
      </c>
      <c r="J289" s="53">
        <v>0.99307790836612186</v>
      </c>
      <c r="K289" s="53">
        <v>0.30564187421244721</v>
      </c>
      <c r="L289" s="53">
        <f>SUM($K$270:K289)/SUM($K$270:$K$290)</f>
        <v>1</v>
      </c>
      <c r="M289" s="52" t="str">
        <f t="shared" si="5"/>
        <v>C</v>
      </c>
    </row>
    <row r="290" spans="1:14">
      <c r="B290" s="52" t="s">
        <v>29</v>
      </c>
      <c r="C290" s="53">
        <v>150</v>
      </c>
      <c r="D290" s="53">
        <v>1</v>
      </c>
      <c r="E290" s="53">
        <v>1</v>
      </c>
      <c r="F290" s="53">
        <v>0.25</v>
      </c>
      <c r="G290" s="53">
        <v>55.238945500434752</v>
      </c>
      <c r="H290" s="53">
        <v>0</v>
      </c>
      <c r="I290" s="53">
        <v>0</v>
      </c>
      <c r="J290" s="53">
        <v>0</v>
      </c>
      <c r="K290" s="53">
        <v>0</v>
      </c>
      <c r="L290" s="53">
        <f>SUM($K$270:K290)/SUM($K$270:$K$290)</f>
        <v>1</v>
      </c>
      <c r="M290" s="52" t="str">
        <f t="shared" si="5"/>
        <v>C</v>
      </c>
    </row>
    <row r="295" spans="1:14" ht="70.05" customHeight="1">
      <c r="B295" s="47" t="s">
        <v>1</v>
      </c>
      <c r="C295" s="47" t="s">
        <v>128</v>
      </c>
      <c r="D295" s="47" t="s">
        <v>129</v>
      </c>
      <c r="E295" s="47" t="s">
        <v>130</v>
      </c>
      <c r="F295" s="47" t="s">
        <v>131</v>
      </c>
      <c r="G295" s="47" t="s">
        <v>189</v>
      </c>
      <c r="H295" s="47" t="s">
        <v>190</v>
      </c>
      <c r="I295" s="47" t="s">
        <v>191</v>
      </c>
      <c r="J295" s="47" t="s">
        <v>192</v>
      </c>
      <c r="K295" s="47" t="s">
        <v>193</v>
      </c>
      <c r="L295" s="47" t="s">
        <v>170</v>
      </c>
      <c r="N295" s="56"/>
    </row>
    <row r="296" spans="1:14" ht="70.05" customHeight="1">
      <c r="A296" s="46"/>
      <c r="B296" s="48" t="s">
        <v>23</v>
      </c>
      <c r="C296" s="49">
        <v>4</v>
      </c>
      <c r="D296" s="49">
        <v>4</v>
      </c>
      <c r="E296" s="49">
        <v>3</v>
      </c>
      <c r="F296" s="49">
        <v>3</v>
      </c>
      <c r="G296" s="50">
        <f t="shared" ref="G296:G316" si="6">AVERAGE(C296:E296)</f>
        <v>3.6666666666666665</v>
      </c>
      <c r="H296" s="50">
        <f t="shared" ref="H296:H316" si="7">AVERAGE(D296:F296)</f>
        <v>3.3333333333333335</v>
      </c>
      <c r="I296" s="50">
        <f t="shared" ref="I296:I316" si="8">IF(AVERAGE(C296:F296)=0,0,_xlfn.STDEV.P(C296:F296)/AVERAGE(C296:F296))</f>
        <v>0.14285714285714285</v>
      </c>
      <c r="J296" s="48">
        <v>0</v>
      </c>
      <c r="K296" s="50" t="str">
        <f>IF(J296&gt;=2, "Unpredictable",
   IF(I296&gt;=0.9, "Unpredictable",
   IF(H296&gt;=1.1*G296, "Rising",
   IF(H296&lt;=0.9*G296, "Declining",
   "Stable"))))</f>
        <v>Stable</v>
      </c>
      <c r="L296" s="50" t="str">
        <f>VLOOKUP(B296,B270:M290,12,0)</f>
        <v>A</v>
      </c>
    </row>
    <row r="297" spans="1:14" ht="70.05" customHeight="1">
      <c r="A297" s="46"/>
      <c r="B297" s="48" t="s">
        <v>14</v>
      </c>
      <c r="C297" s="49">
        <v>3</v>
      </c>
      <c r="D297" s="49">
        <v>2</v>
      </c>
      <c r="E297" s="49">
        <v>2</v>
      </c>
      <c r="F297" s="49">
        <v>1</v>
      </c>
      <c r="G297" s="50">
        <f t="shared" si="6"/>
        <v>2.3333333333333335</v>
      </c>
      <c r="H297" s="50">
        <f t="shared" si="7"/>
        <v>1.6666666666666667</v>
      </c>
      <c r="I297" s="50">
        <f t="shared" si="8"/>
        <v>0.35355339059327379</v>
      </c>
      <c r="J297" s="48">
        <v>0</v>
      </c>
      <c r="K297" s="50" t="str">
        <f t="shared" ref="K297:K316" si="9">IF(J297&gt;=2, "Unpredictable",
   IF(I297&gt;=0.9, "Unpredictable",
   IF(H297&gt;=1.1*G297, "Rising",
   IF(H297&lt;=0.9*G297, "Declining",
   "Stable"))))</f>
        <v>Declining</v>
      </c>
      <c r="L297" s="50" t="str">
        <f>VLOOKUP(B297,$B$271:$M$291,12,0)</f>
        <v>A</v>
      </c>
    </row>
    <row r="298" spans="1:14" ht="70.05" customHeight="1">
      <c r="A298" s="46"/>
      <c r="B298" s="48" t="s">
        <v>16</v>
      </c>
      <c r="C298" s="49">
        <v>3</v>
      </c>
      <c r="D298" s="49">
        <v>4</v>
      </c>
      <c r="E298" s="49">
        <v>3</v>
      </c>
      <c r="F298" s="49">
        <v>4</v>
      </c>
      <c r="G298" s="50">
        <f t="shared" si="6"/>
        <v>3.3333333333333335</v>
      </c>
      <c r="H298" s="50">
        <f t="shared" si="7"/>
        <v>3.6666666666666665</v>
      </c>
      <c r="I298" s="50">
        <f t="shared" si="8"/>
        <v>0.14285714285714285</v>
      </c>
      <c r="J298" s="48">
        <v>0</v>
      </c>
      <c r="K298" s="50" t="str">
        <f t="shared" si="9"/>
        <v>Rising</v>
      </c>
      <c r="L298" s="50" t="str">
        <f t="shared" ref="L298:L316" si="10">VLOOKUP(B298,$B$271:$M$291,12,0)</f>
        <v>A</v>
      </c>
    </row>
    <row r="299" spans="1:14" ht="70.05" customHeight="1">
      <c r="A299" s="46"/>
      <c r="B299" s="48" t="s">
        <v>35</v>
      </c>
      <c r="C299" s="49">
        <v>10</v>
      </c>
      <c r="D299" s="49">
        <v>12</v>
      </c>
      <c r="E299" s="49">
        <v>15</v>
      </c>
      <c r="F299" s="49">
        <v>15.31</v>
      </c>
      <c r="G299" s="50">
        <f t="shared" si="6"/>
        <v>12.333333333333334</v>
      </c>
      <c r="H299" s="50">
        <f t="shared" si="7"/>
        <v>14.103333333333333</v>
      </c>
      <c r="I299" s="50">
        <f t="shared" si="8"/>
        <v>0.16801952218448318</v>
      </c>
      <c r="J299" s="48">
        <v>0</v>
      </c>
      <c r="K299" s="50" t="str">
        <f t="shared" si="9"/>
        <v>Rising</v>
      </c>
      <c r="L299" s="50" t="str">
        <f t="shared" si="10"/>
        <v>A</v>
      </c>
    </row>
    <row r="300" spans="1:14" ht="70.05" customHeight="1">
      <c r="A300" s="46"/>
      <c r="B300" s="48" t="s">
        <v>33</v>
      </c>
      <c r="C300" s="49">
        <v>6</v>
      </c>
      <c r="D300" s="49">
        <v>8</v>
      </c>
      <c r="E300" s="49">
        <v>7</v>
      </c>
      <c r="F300" s="49">
        <v>7</v>
      </c>
      <c r="G300" s="50">
        <f t="shared" si="6"/>
        <v>7</v>
      </c>
      <c r="H300" s="50">
        <f t="shared" si="7"/>
        <v>7.333333333333333</v>
      </c>
      <c r="I300" s="50">
        <f t="shared" si="8"/>
        <v>0.10101525445522108</v>
      </c>
      <c r="J300" s="48">
        <v>0</v>
      </c>
      <c r="K300" s="50" t="str">
        <f t="shared" si="9"/>
        <v>Stable</v>
      </c>
      <c r="L300" s="50" t="str">
        <f t="shared" si="10"/>
        <v>A</v>
      </c>
    </row>
    <row r="301" spans="1:14" ht="70.05" customHeight="1">
      <c r="A301" s="46"/>
      <c r="B301" s="48" t="s">
        <v>41</v>
      </c>
      <c r="C301" s="49">
        <v>3</v>
      </c>
      <c r="D301" s="49">
        <v>3</v>
      </c>
      <c r="E301" s="49">
        <v>3</v>
      </c>
      <c r="F301" s="49">
        <v>3</v>
      </c>
      <c r="G301" s="50">
        <f t="shared" si="6"/>
        <v>3</v>
      </c>
      <c r="H301" s="50">
        <f t="shared" si="7"/>
        <v>3</v>
      </c>
      <c r="I301" s="50">
        <f t="shared" si="8"/>
        <v>0</v>
      </c>
      <c r="J301" s="48">
        <v>0</v>
      </c>
      <c r="K301" s="50" t="str">
        <f t="shared" si="9"/>
        <v>Stable</v>
      </c>
      <c r="L301" s="50" t="str">
        <f t="shared" si="10"/>
        <v>A</v>
      </c>
    </row>
    <row r="302" spans="1:14" ht="70.05" customHeight="1">
      <c r="A302" s="46"/>
      <c r="B302" s="48" t="s">
        <v>10</v>
      </c>
      <c r="C302" s="49">
        <v>0</v>
      </c>
      <c r="D302" s="49">
        <v>4</v>
      </c>
      <c r="E302" s="49">
        <v>0</v>
      </c>
      <c r="F302" s="49">
        <v>1</v>
      </c>
      <c r="G302" s="50">
        <f t="shared" si="6"/>
        <v>1.3333333333333333</v>
      </c>
      <c r="H302" s="50">
        <f t="shared" si="7"/>
        <v>1.6666666666666667</v>
      </c>
      <c r="I302" s="50">
        <f t="shared" si="8"/>
        <v>1.3114877048604001</v>
      </c>
      <c r="J302" s="48">
        <v>2</v>
      </c>
      <c r="K302" s="50" t="str">
        <f t="shared" si="9"/>
        <v>Unpredictable</v>
      </c>
      <c r="L302" s="50" t="str">
        <f t="shared" si="10"/>
        <v>A</v>
      </c>
    </row>
    <row r="303" spans="1:14" ht="70.05" customHeight="1">
      <c r="A303" s="46"/>
      <c r="B303" s="48" t="s">
        <v>38</v>
      </c>
      <c r="C303" s="49">
        <v>5</v>
      </c>
      <c r="D303" s="49">
        <v>5</v>
      </c>
      <c r="E303" s="49">
        <v>4</v>
      </c>
      <c r="F303" s="49">
        <v>4</v>
      </c>
      <c r="G303" s="50">
        <f t="shared" si="6"/>
        <v>4.666666666666667</v>
      </c>
      <c r="H303" s="50">
        <f t="shared" si="7"/>
        <v>4.333333333333333</v>
      </c>
      <c r="I303" s="50">
        <f t="shared" si="8"/>
        <v>0.1111111111111111</v>
      </c>
      <c r="J303" s="48">
        <v>0</v>
      </c>
      <c r="K303" s="50" t="str">
        <f t="shared" si="9"/>
        <v>Stable</v>
      </c>
      <c r="L303" s="50" t="str">
        <f t="shared" si="10"/>
        <v>A</v>
      </c>
    </row>
    <row r="304" spans="1:14" ht="70.05" customHeight="1">
      <c r="A304" s="46"/>
      <c r="B304" s="48" t="s">
        <v>31</v>
      </c>
      <c r="C304" s="49">
        <v>2</v>
      </c>
      <c r="D304" s="49">
        <v>2</v>
      </c>
      <c r="E304" s="49">
        <v>1</v>
      </c>
      <c r="F304" s="49">
        <v>2</v>
      </c>
      <c r="G304" s="50">
        <f t="shared" si="6"/>
        <v>1.6666666666666667</v>
      </c>
      <c r="H304" s="50">
        <f t="shared" si="7"/>
        <v>1.6666666666666667</v>
      </c>
      <c r="I304" s="50">
        <f t="shared" si="8"/>
        <v>0.24743582965269675</v>
      </c>
      <c r="J304" s="48">
        <v>0</v>
      </c>
      <c r="K304" s="50" t="str">
        <f t="shared" si="9"/>
        <v>Stable</v>
      </c>
      <c r="L304" s="50" t="str">
        <f t="shared" si="10"/>
        <v>A</v>
      </c>
    </row>
    <row r="305" spans="1:12" ht="70.05" customHeight="1">
      <c r="A305" s="46"/>
      <c r="B305" s="48" t="s">
        <v>8</v>
      </c>
      <c r="C305" s="49">
        <v>0</v>
      </c>
      <c r="D305" s="49">
        <v>4</v>
      </c>
      <c r="E305" s="49">
        <v>1</v>
      </c>
      <c r="F305" s="49">
        <v>1</v>
      </c>
      <c r="G305" s="50">
        <f t="shared" si="6"/>
        <v>1.6666666666666667</v>
      </c>
      <c r="H305" s="50">
        <f t="shared" si="7"/>
        <v>2</v>
      </c>
      <c r="I305" s="50">
        <f t="shared" si="8"/>
        <v>1</v>
      </c>
      <c r="J305" s="48">
        <v>1</v>
      </c>
      <c r="K305" s="50" t="str">
        <f t="shared" si="9"/>
        <v>Unpredictable</v>
      </c>
      <c r="L305" s="50" t="str">
        <f t="shared" si="10"/>
        <v>A</v>
      </c>
    </row>
    <row r="306" spans="1:12" ht="70.05" customHeight="1">
      <c r="A306" s="46"/>
      <c r="B306" s="48" t="s">
        <v>67</v>
      </c>
      <c r="C306" s="49">
        <v>2</v>
      </c>
      <c r="D306" s="49">
        <v>3</v>
      </c>
      <c r="E306" s="49">
        <v>3</v>
      </c>
      <c r="F306" s="49">
        <v>4</v>
      </c>
      <c r="G306" s="50">
        <f t="shared" si="6"/>
        <v>2.6666666666666665</v>
      </c>
      <c r="H306" s="50">
        <f t="shared" si="7"/>
        <v>3.3333333333333335</v>
      </c>
      <c r="I306" s="50">
        <f t="shared" si="8"/>
        <v>0.23570226039551587</v>
      </c>
      <c r="J306" s="48">
        <v>0</v>
      </c>
      <c r="K306" s="50" t="str">
        <f t="shared" si="9"/>
        <v>Rising</v>
      </c>
      <c r="L306" s="50" t="str">
        <f t="shared" si="10"/>
        <v>B</v>
      </c>
    </row>
    <row r="307" spans="1:12" ht="70.05" customHeight="1">
      <c r="A307" s="46"/>
      <c r="B307" s="48" t="s">
        <v>25</v>
      </c>
      <c r="C307" s="49">
        <v>2</v>
      </c>
      <c r="D307" s="49">
        <v>2</v>
      </c>
      <c r="E307" s="49">
        <v>3</v>
      </c>
      <c r="F307" s="49">
        <v>2</v>
      </c>
      <c r="G307" s="50">
        <f t="shared" si="6"/>
        <v>2.3333333333333335</v>
      </c>
      <c r="H307" s="50">
        <f t="shared" si="7"/>
        <v>2.3333333333333335</v>
      </c>
      <c r="I307" s="50">
        <f t="shared" si="8"/>
        <v>0.19245008972987523</v>
      </c>
      <c r="J307" s="48">
        <v>0</v>
      </c>
      <c r="K307" s="50" t="str">
        <f t="shared" si="9"/>
        <v>Stable</v>
      </c>
      <c r="L307" s="50" t="str">
        <f t="shared" si="10"/>
        <v>B</v>
      </c>
    </row>
    <row r="308" spans="1:12" ht="70.05" customHeight="1">
      <c r="A308" s="46"/>
      <c r="B308" s="48" t="s">
        <v>18</v>
      </c>
      <c r="C308" s="49">
        <v>1</v>
      </c>
      <c r="D308" s="49">
        <v>1</v>
      </c>
      <c r="E308" s="49">
        <v>0</v>
      </c>
      <c r="F308" s="49">
        <v>0</v>
      </c>
      <c r="G308" s="50">
        <f t="shared" si="6"/>
        <v>0.66666666666666663</v>
      </c>
      <c r="H308" s="50">
        <f t="shared" si="7"/>
        <v>0.33333333333333331</v>
      </c>
      <c r="I308" s="50">
        <f t="shared" si="8"/>
        <v>1</v>
      </c>
      <c r="J308" s="48">
        <v>2</v>
      </c>
      <c r="K308" s="50" t="str">
        <f t="shared" si="9"/>
        <v>Unpredictable</v>
      </c>
      <c r="L308" s="50" t="str">
        <f t="shared" si="10"/>
        <v>B</v>
      </c>
    </row>
    <row r="309" spans="1:12" ht="70.05" customHeight="1">
      <c r="A309" s="46"/>
      <c r="B309" s="48" t="s">
        <v>6</v>
      </c>
      <c r="C309" s="49">
        <v>5</v>
      </c>
      <c r="D309" s="49">
        <v>3</v>
      </c>
      <c r="E309" s="49">
        <v>4</v>
      </c>
      <c r="F309" s="49">
        <v>4</v>
      </c>
      <c r="G309" s="50">
        <f t="shared" si="6"/>
        <v>4</v>
      </c>
      <c r="H309" s="50">
        <f t="shared" si="7"/>
        <v>3.6666666666666665</v>
      </c>
      <c r="I309" s="50">
        <f t="shared" si="8"/>
        <v>0.17677669529663689</v>
      </c>
      <c r="J309" s="48">
        <v>0</v>
      </c>
      <c r="K309" s="50" t="str">
        <f t="shared" si="9"/>
        <v>Stable</v>
      </c>
      <c r="L309" s="50" t="str">
        <f t="shared" si="10"/>
        <v>B</v>
      </c>
    </row>
    <row r="310" spans="1:12" ht="70.05" customHeight="1">
      <c r="A310" s="46"/>
      <c r="B310" s="48" t="s">
        <v>4</v>
      </c>
      <c r="C310" s="49">
        <v>0</v>
      </c>
      <c r="D310" s="49">
        <v>0</v>
      </c>
      <c r="E310" s="49">
        <v>1</v>
      </c>
      <c r="F310" s="49">
        <v>1</v>
      </c>
      <c r="G310" s="50">
        <f t="shared" si="6"/>
        <v>0.33333333333333331</v>
      </c>
      <c r="H310" s="50">
        <f t="shared" si="7"/>
        <v>0.66666666666666663</v>
      </c>
      <c r="I310" s="50">
        <f t="shared" si="8"/>
        <v>1</v>
      </c>
      <c r="J310" s="48">
        <v>2</v>
      </c>
      <c r="K310" s="50" t="str">
        <f t="shared" si="9"/>
        <v>Unpredictable</v>
      </c>
      <c r="L310" s="50" t="str">
        <f t="shared" si="10"/>
        <v>C</v>
      </c>
    </row>
    <row r="311" spans="1:12" ht="70.05" customHeight="1">
      <c r="A311" s="46"/>
      <c r="B311" s="48" t="s">
        <v>12</v>
      </c>
      <c r="C311" s="49">
        <v>2</v>
      </c>
      <c r="D311" s="49">
        <v>2</v>
      </c>
      <c r="E311" s="49">
        <v>1</v>
      </c>
      <c r="F311" s="49">
        <v>1</v>
      </c>
      <c r="G311" s="50">
        <f t="shared" si="6"/>
        <v>1.6666666666666667</v>
      </c>
      <c r="H311" s="50">
        <f t="shared" si="7"/>
        <v>1.3333333333333333</v>
      </c>
      <c r="I311" s="50">
        <f t="shared" si="8"/>
        <v>0.33333333333333331</v>
      </c>
      <c r="J311" s="48">
        <v>0</v>
      </c>
      <c r="K311" s="50" t="str">
        <f t="shared" si="9"/>
        <v>Declining</v>
      </c>
      <c r="L311" s="50" t="str">
        <f t="shared" si="10"/>
        <v>C</v>
      </c>
    </row>
    <row r="312" spans="1:12" ht="70.05" customHeight="1">
      <c r="A312" s="46"/>
      <c r="B312" s="48" t="s">
        <v>21</v>
      </c>
      <c r="C312" s="49">
        <v>0</v>
      </c>
      <c r="D312" s="49">
        <v>4</v>
      </c>
      <c r="E312" s="49">
        <v>0</v>
      </c>
      <c r="F312" s="49">
        <v>0</v>
      </c>
      <c r="G312" s="50">
        <f t="shared" si="6"/>
        <v>1.3333333333333333</v>
      </c>
      <c r="H312" s="50">
        <f t="shared" si="7"/>
        <v>1.3333333333333333</v>
      </c>
      <c r="I312" s="50">
        <f t="shared" si="8"/>
        <v>1.7320508075688772</v>
      </c>
      <c r="J312" s="48">
        <v>2</v>
      </c>
      <c r="K312" s="50" t="str">
        <f t="shared" si="9"/>
        <v>Unpredictable</v>
      </c>
      <c r="L312" s="50" t="str">
        <f t="shared" si="10"/>
        <v>A</v>
      </c>
    </row>
    <row r="313" spans="1:12" ht="70.05" customHeight="1">
      <c r="A313" s="46"/>
      <c r="B313" s="48" t="s">
        <v>27</v>
      </c>
      <c r="C313" s="49">
        <v>1</v>
      </c>
      <c r="D313" s="49">
        <v>1</v>
      </c>
      <c r="E313" s="49">
        <v>1</v>
      </c>
      <c r="F313" s="49">
        <v>1</v>
      </c>
      <c r="G313" s="50">
        <f t="shared" si="6"/>
        <v>1</v>
      </c>
      <c r="H313" s="50">
        <f t="shared" si="7"/>
        <v>1</v>
      </c>
      <c r="I313" s="50">
        <f t="shared" si="8"/>
        <v>0</v>
      </c>
      <c r="J313" s="48">
        <v>0</v>
      </c>
      <c r="K313" s="50" t="str">
        <f t="shared" si="9"/>
        <v>Stable</v>
      </c>
      <c r="L313" s="50" t="str">
        <f t="shared" si="10"/>
        <v>C</v>
      </c>
    </row>
    <row r="314" spans="1:12" ht="70.05" customHeight="1">
      <c r="A314" s="46"/>
      <c r="B314" s="48" t="s">
        <v>20</v>
      </c>
      <c r="C314" s="49">
        <v>2</v>
      </c>
      <c r="D314" s="49">
        <v>3</v>
      </c>
      <c r="E314" s="49">
        <v>3</v>
      </c>
      <c r="F314" s="49">
        <v>2</v>
      </c>
      <c r="G314" s="50">
        <f t="shared" si="6"/>
        <v>2.6666666666666665</v>
      </c>
      <c r="H314" s="50">
        <f t="shared" si="7"/>
        <v>2.6666666666666665</v>
      </c>
      <c r="I314" s="50">
        <f t="shared" si="8"/>
        <v>0.2</v>
      </c>
      <c r="J314" s="48">
        <v>0</v>
      </c>
      <c r="K314" s="50" t="str">
        <f t="shared" si="9"/>
        <v>Stable</v>
      </c>
      <c r="L314" s="50" t="str">
        <f t="shared" si="10"/>
        <v>B</v>
      </c>
    </row>
    <row r="315" spans="1:12" ht="70.05" customHeight="1">
      <c r="A315" s="46"/>
      <c r="B315" s="48" t="s">
        <v>39</v>
      </c>
      <c r="C315" s="49">
        <v>1</v>
      </c>
      <c r="D315" s="49">
        <v>1</v>
      </c>
      <c r="E315" s="49">
        <v>1</v>
      </c>
      <c r="F315" s="49">
        <v>1</v>
      </c>
      <c r="G315" s="50">
        <f t="shared" si="6"/>
        <v>1</v>
      </c>
      <c r="H315" s="50">
        <f t="shared" si="7"/>
        <v>1</v>
      </c>
      <c r="I315" s="50">
        <f t="shared" si="8"/>
        <v>0</v>
      </c>
      <c r="J315" s="48">
        <v>0</v>
      </c>
      <c r="K315" s="50" t="str">
        <f t="shared" si="9"/>
        <v>Stable</v>
      </c>
      <c r="L315" s="50" t="str">
        <f t="shared" si="10"/>
        <v>C</v>
      </c>
    </row>
    <row r="316" spans="1:12" ht="70.05" customHeight="1">
      <c r="A316" s="46"/>
      <c r="B316" s="48" t="s">
        <v>29</v>
      </c>
      <c r="C316" s="49">
        <v>0</v>
      </c>
      <c r="D316" s="49">
        <v>4</v>
      </c>
      <c r="E316" s="49">
        <v>0</v>
      </c>
      <c r="F316" s="49">
        <v>0</v>
      </c>
      <c r="G316" s="50">
        <f t="shared" si="6"/>
        <v>1.3333333333333333</v>
      </c>
      <c r="H316" s="50">
        <f t="shared" si="7"/>
        <v>1.3333333333333333</v>
      </c>
      <c r="I316" s="50">
        <f t="shared" si="8"/>
        <v>1.7320508075688772</v>
      </c>
      <c r="J316" s="48">
        <v>2</v>
      </c>
      <c r="K316" s="50" t="str">
        <f t="shared" si="9"/>
        <v>Unpredictable</v>
      </c>
      <c r="L316" s="50" t="str">
        <f t="shared" si="10"/>
        <v>C</v>
      </c>
    </row>
    <row r="317" spans="1:12">
      <c r="K317" s="18"/>
    </row>
    <row r="318" spans="1:12">
      <c r="K318" s="18"/>
    </row>
  </sheetData>
  <sortState xmlns:xlrd2="http://schemas.microsoft.com/office/spreadsheetml/2017/richdata2" ref="B270:M290">
    <sortCondition descending="1" ref="K270:K290"/>
  </sortState>
  <mergeCells count="7">
    <mergeCell ref="C1:M1"/>
    <mergeCell ref="B46:G46"/>
    <mergeCell ref="G267:L267"/>
    <mergeCell ref="B242:E242"/>
    <mergeCell ref="B205:H205"/>
    <mergeCell ref="B96:G96"/>
    <mergeCell ref="B123:G123"/>
  </mergeCells>
  <phoneticPr fontId="8" type="noConversion"/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3B60-985A-4C84-91C3-5207E4E5BAD6}">
  <dimension ref="B3:J32"/>
  <sheetViews>
    <sheetView topLeftCell="A7" zoomScale="90" zoomScaleNormal="90" workbookViewId="0">
      <selection activeCell="F21" sqref="F21"/>
    </sheetView>
  </sheetViews>
  <sheetFormatPr defaultRowHeight="14.4"/>
  <cols>
    <col min="2" max="2" width="25.77734375" bestFit="1" customWidth="1"/>
    <col min="3" max="3" width="15.6640625" bestFit="1" customWidth="1"/>
    <col min="5" max="5" width="25.77734375" bestFit="1" customWidth="1"/>
    <col min="6" max="6" width="15" bestFit="1" customWidth="1"/>
  </cols>
  <sheetData>
    <row r="3" spans="2:10">
      <c r="B3" s="4" t="s">
        <v>43</v>
      </c>
      <c r="C3" t="s">
        <v>139</v>
      </c>
    </row>
    <row r="4" spans="2:10">
      <c r="B4" s="5" t="s">
        <v>99</v>
      </c>
      <c r="C4">
        <v>2584</v>
      </c>
    </row>
    <row r="5" spans="2:10">
      <c r="B5" s="5" t="s">
        <v>100</v>
      </c>
      <c r="C5">
        <v>2960</v>
      </c>
    </row>
    <row r="6" spans="2:10">
      <c r="B6" s="5" t="s">
        <v>101</v>
      </c>
      <c r="C6">
        <v>1930</v>
      </c>
      <c r="F6" t="s">
        <v>48</v>
      </c>
    </row>
    <row r="7" spans="2:10">
      <c r="B7" s="5" t="s">
        <v>105</v>
      </c>
      <c r="C7">
        <v>1350</v>
      </c>
    </row>
    <row r="8" spans="2:10">
      <c r="B8" s="5" t="s">
        <v>102</v>
      </c>
      <c r="C8">
        <v>2086</v>
      </c>
    </row>
    <row r="9" spans="2:10">
      <c r="B9" s="5" t="s">
        <v>112</v>
      </c>
      <c r="C9">
        <v>2927</v>
      </c>
    </row>
    <row r="10" spans="2:10">
      <c r="B10" s="5" t="s">
        <v>114</v>
      </c>
      <c r="C10">
        <v>2882</v>
      </c>
      <c r="J10" t="s">
        <v>48</v>
      </c>
    </row>
    <row r="11" spans="2:10">
      <c r="B11" s="5" t="s">
        <v>116</v>
      </c>
      <c r="C11">
        <v>3308</v>
      </c>
    </row>
    <row r="12" spans="2:10">
      <c r="B12" s="5" t="s">
        <v>117</v>
      </c>
      <c r="C12">
        <v>2082</v>
      </c>
    </row>
    <row r="13" spans="2:10">
      <c r="B13" s="5" t="s">
        <v>118</v>
      </c>
      <c r="C13">
        <v>4225</v>
      </c>
    </row>
    <row r="14" spans="2:10">
      <c r="B14" s="5" t="s">
        <v>121</v>
      </c>
      <c r="C14">
        <v>2505</v>
      </c>
    </row>
    <row r="15" spans="2:10">
      <c r="B15" s="5" t="s">
        <v>122</v>
      </c>
      <c r="C15">
        <v>2255</v>
      </c>
    </row>
    <row r="16" spans="2:10">
      <c r="B16" s="5" t="s">
        <v>44</v>
      </c>
      <c r="C16">
        <v>31094</v>
      </c>
    </row>
    <row r="19" spans="2:6">
      <c r="B19" s="27" t="s">
        <v>124</v>
      </c>
      <c r="C19" s="28"/>
      <c r="D19" s="28"/>
      <c r="E19" s="28"/>
      <c r="F19" s="36">
        <v>31094</v>
      </c>
    </row>
    <row r="20" spans="2:6">
      <c r="B20" s="27" t="s">
        <v>125</v>
      </c>
      <c r="F20" s="8">
        <v>54979.5</v>
      </c>
    </row>
    <row r="21" spans="2:6">
      <c r="E21" s="15" t="s">
        <v>126</v>
      </c>
      <c r="F21">
        <f>SUM(F19:F20)</f>
        <v>86073.5</v>
      </c>
    </row>
    <row r="24" spans="2:6" ht="21">
      <c r="B24" s="60" t="s">
        <v>127</v>
      </c>
      <c r="C24" s="60"/>
      <c r="D24" s="60"/>
      <c r="E24" s="60"/>
    </row>
    <row r="27" spans="2:6" ht="18">
      <c r="B27" s="24" t="s">
        <v>43</v>
      </c>
      <c r="C27" s="25" t="s">
        <v>119</v>
      </c>
    </row>
    <row r="28" spans="2:6" ht="18">
      <c r="B28" s="26" t="s">
        <v>128</v>
      </c>
      <c r="C28" s="25">
        <v>6495</v>
      </c>
    </row>
    <row r="29" spans="2:6" ht="18">
      <c r="B29" s="26" t="s">
        <v>129</v>
      </c>
      <c r="C29" s="25">
        <v>6525</v>
      </c>
    </row>
    <row r="30" spans="2:6" ht="18">
      <c r="B30" s="26" t="s">
        <v>130</v>
      </c>
      <c r="C30" s="25">
        <v>7610</v>
      </c>
    </row>
    <row r="31" spans="2:6" ht="18">
      <c r="B31" s="26" t="s">
        <v>131</v>
      </c>
      <c r="C31" s="25">
        <v>14380</v>
      </c>
    </row>
    <row r="32" spans="2:6" ht="18">
      <c r="B32" s="26" t="s">
        <v>44</v>
      </c>
      <c r="C32" s="25">
        <v>35010</v>
      </c>
    </row>
  </sheetData>
  <mergeCells count="1">
    <mergeCell ref="B24:E24"/>
  </mergeCells>
  <phoneticPr fontId="8" type="noConversion"/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09D0D9-11D7-492B-ABBA-C247FFA9B6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</vt:lpstr>
      <vt:lpstr>Raw Sale</vt:lpstr>
      <vt:lpstr>Retail Sale</vt:lpstr>
      <vt:lpstr>Raw Summary</vt:lpstr>
      <vt:lpstr>Retail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hadi</cp:lastModifiedBy>
  <cp:lastPrinted>2025-11-08T18:12:16Z</cp:lastPrinted>
  <dcterms:created xsi:type="dcterms:W3CDTF">2025-10-03T07:10:25Z</dcterms:created>
  <dcterms:modified xsi:type="dcterms:W3CDTF">2026-02-25T03:44:31Z</dcterms:modified>
</cp:coreProperties>
</file>