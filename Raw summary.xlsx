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bdul Hadi\Desktop\PRO\bdm\"/>
    </mc:Choice>
  </mc:AlternateContent>
  <xr:revisionPtr revIDLastSave="0" documentId="13_ncr:1_{5F44A74A-172B-4337-88FE-255EF7453935}" xr6:coauthVersionLast="47" xr6:coauthVersionMax="47" xr10:uidLastSave="{00000000-0000-0000-0000-000000000000}"/>
  <bookViews>
    <workbookView xWindow="-108" yWindow="-108" windowWidth="23256" windowHeight="12456" xr2:uid="{15169078-5988-45E6-BD25-E7FC698604EB}"/>
  </bookViews>
  <sheets>
    <sheet name="Raw Summary" sheetId="1" r:id="rId1"/>
  </sheets>
  <externalReferences>
    <externalReference r:id="rId2"/>
  </externalReferences>
  <calcPr calcId="191029"/>
  <pivotCaches>
    <pivotCache cacheId="9" r:id="rId3"/>
    <pivotCache cacheId="2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I4" i="1"/>
  <c r="J4" i="1"/>
  <c r="I5" i="1"/>
  <c r="J5" i="1"/>
  <c r="I6" i="1"/>
  <c r="J6" i="1"/>
  <c r="I7" i="1"/>
  <c r="J7" i="1" s="1"/>
  <c r="I8" i="1"/>
  <c r="J8" i="1"/>
  <c r="I9" i="1"/>
  <c r="J9" i="1"/>
  <c r="C10" i="1"/>
  <c r="I10" i="1"/>
  <c r="J10" i="1"/>
  <c r="I11" i="1"/>
  <c r="J11" i="1"/>
  <c r="I12" i="1"/>
  <c r="J12" i="1" s="1"/>
  <c r="I13" i="1"/>
  <c r="J13" i="1" s="1"/>
  <c r="I14" i="1"/>
  <c r="J14" i="1"/>
  <c r="I15" i="1"/>
  <c r="J15" i="1"/>
  <c r="I16" i="1"/>
  <c r="J16" i="1"/>
  <c r="I17" i="1"/>
  <c r="J17" i="1"/>
  <c r="I18" i="1"/>
  <c r="J18" i="1" s="1"/>
  <c r="I19" i="1"/>
  <c r="J19" i="1" s="1"/>
  <c r="I20" i="1"/>
  <c r="J20" i="1"/>
  <c r="I21" i="1"/>
  <c r="J21" i="1"/>
  <c r="I22" i="1"/>
  <c r="J22" i="1"/>
  <c r="I23" i="1"/>
  <c r="J23" i="1"/>
  <c r="I24" i="1"/>
  <c r="J24" i="1" s="1"/>
  <c r="G25" i="1"/>
  <c r="H25" i="1"/>
  <c r="I128" i="1"/>
  <c r="J128" i="1"/>
  <c r="K128" i="1"/>
  <c r="I129" i="1"/>
  <c r="J129" i="1"/>
  <c r="K129" i="1"/>
  <c r="I130" i="1"/>
  <c r="J130" i="1"/>
  <c r="J131" i="1" s="1"/>
  <c r="K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K131" i="1" l="1"/>
  <c r="J132" i="1"/>
  <c r="K132" i="1" l="1"/>
  <c r="J133" i="1"/>
  <c r="K133" i="1" l="1"/>
  <c r="J134" i="1"/>
  <c r="J135" i="1" l="1"/>
  <c r="K134" i="1"/>
  <c r="K135" i="1" l="1"/>
  <c r="J136" i="1"/>
  <c r="K136" i="1" l="1"/>
  <c r="J137" i="1"/>
  <c r="K137" i="1" l="1"/>
  <c r="J138" i="1"/>
  <c r="J139" i="1" l="1"/>
  <c r="K138" i="1"/>
  <c r="K139" i="1" l="1"/>
  <c r="J140" i="1"/>
  <c r="K140" i="1" l="1"/>
  <c r="J141" i="1"/>
  <c r="K141" i="1" l="1"/>
  <c r="J142" i="1"/>
  <c r="J143" i="1" l="1"/>
  <c r="K142" i="1"/>
  <c r="K143" i="1" l="1"/>
  <c r="J144" i="1"/>
  <c r="K144" i="1" l="1"/>
  <c r="J145" i="1"/>
  <c r="J146" i="1" l="1"/>
  <c r="K145" i="1"/>
  <c r="J147" i="1" l="1"/>
  <c r="K146" i="1"/>
  <c r="K147" i="1" l="1"/>
  <c r="J148" i="1"/>
  <c r="K148" i="1" s="1"/>
</calcChain>
</file>

<file path=xl/sharedStrings.xml><?xml version="1.0" encoding="utf-8"?>
<sst xmlns="http://schemas.openxmlformats.org/spreadsheetml/2006/main" count="193" uniqueCount="76">
  <si>
    <t>Bed Side Frame (B)</t>
  </si>
  <si>
    <t>BSF (B)</t>
  </si>
  <si>
    <t>Centre Table Frame (A)</t>
  </si>
  <si>
    <t>CTF (A)</t>
  </si>
  <si>
    <t>Dining Chair Frame (B)</t>
  </si>
  <si>
    <t>DCF (B)</t>
  </si>
  <si>
    <t>Sofa Side Frame (E)</t>
  </si>
  <si>
    <t>SSF (E)</t>
  </si>
  <si>
    <t>Chair Frame (B)</t>
  </si>
  <si>
    <t>Centre Table Frame (B)</t>
  </si>
  <si>
    <t>CTF (B)</t>
  </si>
  <si>
    <t>Dining Chair Frame (C)</t>
  </si>
  <si>
    <t>DCF (C)</t>
  </si>
  <si>
    <t>Centre Table Side Frame (A)</t>
  </si>
  <si>
    <t>CTSF (A)</t>
  </si>
  <si>
    <t>Bed Side Frame (A)</t>
  </si>
  <si>
    <t>BSF (A)</t>
  </si>
  <si>
    <t>Centre Table Frame (C)</t>
  </si>
  <si>
    <t>CTF (C)</t>
  </si>
  <si>
    <t>Dining Chair Frame (A)</t>
  </si>
  <si>
    <t>DCF (A)</t>
  </si>
  <si>
    <t>Bed Side Frame (F)</t>
  </si>
  <si>
    <t>BSF (F)</t>
  </si>
  <si>
    <t>Bed Side Frame (D)</t>
  </si>
  <si>
    <t>BSF (D)</t>
  </si>
  <si>
    <t>Dining Chair Frame (D)</t>
  </si>
  <si>
    <t>DCF (D)</t>
  </si>
  <si>
    <t>Chair Frame (A)</t>
  </si>
  <si>
    <t>Bed Side Frame (C)</t>
  </si>
  <si>
    <t>BSF (C)</t>
  </si>
  <si>
    <t>Sofa Side Frame (C)</t>
  </si>
  <si>
    <t>SSF (C)</t>
  </si>
  <si>
    <t>Sofa Side Frame (B)</t>
  </si>
  <si>
    <t>SSF (B)</t>
  </si>
  <si>
    <t>Sofa Side Frame (A)</t>
  </si>
  <si>
    <t>SSF (A)</t>
  </si>
  <si>
    <t>Teak Sawn Timber Different Cut Size</t>
  </si>
  <si>
    <t>Teak Sawn Timber</t>
  </si>
  <si>
    <t>Sofa Side Frame (D)</t>
  </si>
  <si>
    <t>SSF (D)</t>
  </si>
  <si>
    <t>ABC Category</t>
  </si>
  <si>
    <t>Cumulative %</t>
  </si>
  <si>
    <t>Profit Contribution</t>
  </si>
  <si>
    <t>Total Profit</t>
  </si>
  <si>
    <t>Qty Sold</t>
  </si>
  <si>
    <t>Profit</t>
  </si>
  <si>
    <t>Sales Rate</t>
  </si>
  <si>
    <t>Purchase Rate</t>
  </si>
  <si>
    <t>Item Description</t>
  </si>
  <si>
    <t>Item Code</t>
  </si>
  <si>
    <t>Grand Total</t>
  </si>
  <si>
    <t>Sum of Qty</t>
  </si>
  <si>
    <t>Sum of Total Amount</t>
  </si>
  <si>
    <t>Row Labels</t>
  </si>
  <si>
    <t>(All)</t>
  </si>
  <si>
    <t>Date</t>
  </si>
  <si>
    <t>Purchase Total</t>
  </si>
  <si>
    <t>Sum of Total Profit</t>
  </si>
  <si>
    <t>Sum of Total Sales</t>
  </si>
  <si>
    <t xml:space="preserve">Sales Total </t>
  </si>
  <si>
    <t>Retail</t>
  </si>
  <si>
    <t>Not Available</t>
  </si>
  <si>
    <t>Carpenter</t>
  </si>
  <si>
    <t>Revenue Share by Customer Type (May–Aug 2024</t>
  </si>
  <si>
    <t>Total</t>
  </si>
  <si>
    <t xml:space="preserve"> </t>
  </si>
  <si>
    <t>Number of Purchase Transactions</t>
  </si>
  <si>
    <t>Number of Sales Transactions</t>
  </si>
  <si>
    <t>Highest Selling Product</t>
  </si>
  <si>
    <t>Total Profit (₹)</t>
  </si>
  <si>
    <t>Total Purchase (₹)</t>
  </si>
  <si>
    <t>Profit Margin %</t>
  </si>
  <si>
    <t>Total Sales (₹)</t>
  </si>
  <si>
    <t>A.R. FURNITURES – SUMMARY DASHBOARD (May–Aug 2024)</t>
  </si>
  <si>
    <t>ABC Classification ( Profit-Based )</t>
  </si>
  <si>
    <t xml:space="preserve">ABC Classification ( Profit–Frequency–Stability 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</si>
</sst>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Arial Unicode MS"/>
    </font>
    <font>
      <i/>
      <sz val="11"/>
      <color theme="1"/>
      <name val="Calibri"/>
      <family val="2"/>
      <scheme val="minor"/>
    </font>
    <font>
      <b/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C6D9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0" xfId="0" applyFont="1" applyFill="1" applyAlignment="1">
      <alignment horizontal="center"/>
    </xf>
    <xf numFmtId="0" fontId="0" fillId="3" borderId="1" xfId="0" applyFill="1" applyBorder="1" applyAlignment="1">
      <alignment horizontal="center" vertical="center" wrapText="1"/>
    </xf>
    <xf numFmtId="164" fontId="0" fillId="4" borderId="1" xfId="0" applyNumberForma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5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pivotButton="1"/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left"/>
    </xf>
    <xf numFmtId="0" fontId="0" fillId="6" borderId="0" xfId="0" applyFill="1"/>
    <xf numFmtId="2" fontId="0" fillId="6" borderId="0" xfId="0" applyNumberFormat="1" applyFill="1"/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7" borderId="4" xfId="0" applyFill="1" applyBorder="1"/>
    <xf numFmtId="0" fontId="5" fillId="0" borderId="0" xfId="0" applyFont="1" applyAlignment="1">
      <alignment vertical="center"/>
    </xf>
    <xf numFmtId="0" fontId="7" fillId="8" borderId="5" xfId="0" applyFont="1" applyFill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 summary.xlsx]Raw Summary!PivotTable4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Revenue Share by Customer Type (May–Aug 2024)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'Raw Summary'!$D$31</c:f>
              <c:strCache>
                <c:ptCount val="1"/>
                <c:pt idx="0">
                  <c:v>Total</c:v>
                </c:pt>
              </c:strCache>
            </c:strRef>
          </c:tx>
          <c:explosion val="8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B9C-4B13-9034-614EED1D195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B9C-4B13-9034-614EED1D195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B9C-4B13-9034-614EED1D195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'Raw Summary'!$C$32:$C$35</c:f>
              <c:strCache>
                <c:ptCount val="3"/>
                <c:pt idx="0">
                  <c:v>Carpenter</c:v>
                </c:pt>
                <c:pt idx="1">
                  <c:v>Not Available</c:v>
                </c:pt>
                <c:pt idx="2">
                  <c:v>Retail</c:v>
                </c:pt>
              </c:strCache>
            </c:strRef>
          </c:cat>
          <c:val>
            <c:numRef>
              <c:f>'Raw Summary'!$D$32:$D$35</c:f>
              <c:numCache>
                <c:formatCode>General</c:formatCode>
                <c:ptCount val="3"/>
                <c:pt idx="0">
                  <c:v>278590</c:v>
                </c:pt>
                <c:pt idx="1">
                  <c:v>39670</c:v>
                </c:pt>
                <c:pt idx="2">
                  <c:v>50892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B9C-4B13-9034-614EED1D1958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'Raw Summary'!$I$127</c:f>
              <c:strCache>
                <c:ptCount val="1"/>
                <c:pt idx="0">
                  <c:v>Profit Contribution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'Raw Summary'!$B$128:$B$148</c:f>
              <c:strCache>
                <c:ptCount val="21"/>
                <c:pt idx="0">
                  <c:v>SSF (D)</c:v>
                </c:pt>
                <c:pt idx="1">
                  <c:v>Teak Sawn Timber</c:v>
                </c:pt>
                <c:pt idx="2">
                  <c:v>SSF (A)</c:v>
                </c:pt>
                <c:pt idx="3">
                  <c:v>SSF (B)</c:v>
                </c:pt>
                <c:pt idx="4">
                  <c:v>SSF (C)</c:v>
                </c:pt>
                <c:pt idx="5">
                  <c:v>BSF (C)</c:v>
                </c:pt>
                <c:pt idx="6">
                  <c:v>Chair Frame (A)</c:v>
                </c:pt>
                <c:pt idx="7">
                  <c:v>DCF (D)</c:v>
                </c:pt>
                <c:pt idx="8">
                  <c:v>BSF (D)</c:v>
                </c:pt>
                <c:pt idx="9">
                  <c:v>BSF (F)</c:v>
                </c:pt>
                <c:pt idx="10">
                  <c:v>DCF (A)</c:v>
                </c:pt>
                <c:pt idx="11">
                  <c:v>CTF (C)</c:v>
                </c:pt>
                <c:pt idx="12">
                  <c:v>BSF (A)</c:v>
                </c:pt>
                <c:pt idx="13">
                  <c:v>CTSF (A)</c:v>
                </c:pt>
                <c:pt idx="14">
                  <c:v>DCF (C)</c:v>
                </c:pt>
                <c:pt idx="15">
                  <c:v>CTF (B)</c:v>
                </c:pt>
                <c:pt idx="16">
                  <c:v>Chair Frame (B)</c:v>
                </c:pt>
                <c:pt idx="17">
                  <c:v>SSF (E)</c:v>
                </c:pt>
                <c:pt idx="18">
                  <c:v>DCF (B)</c:v>
                </c:pt>
                <c:pt idx="19">
                  <c:v>CTF (A)</c:v>
                </c:pt>
                <c:pt idx="20">
                  <c:v>BSF (B)</c:v>
                </c:pt>
              </c:strCache>
            </c:strRef>
          </c:cat>
          <c:val>
            <c:numRef>
              <c:f>'Raw Summary'!$I$128:$I$148</c:f>
              <c:numCache>
                <c:formatCode>0.000</c:formatCode>
                <c:ptCount val="21"/>
                <c:pt idx="0">
                  <c:v>0.16296983421093317</c:v>
                </c:pt>
                <c:pt idx="1">
                  <c:v>0.14271683081875972</c:v>
                </c:pt>
                <c:pt idx="2">
                  <c:v>0.13368619212615612</c:v>
                </c:pt>
                <c:pt idx="3">
                  <c:v>0.12579234078156404</c:v>
                </c:pt>
                <c:pt idx="4">
                  <c:v>7.3663820151147252E-2</c:v>
                </c:pt>
                <c:pt idx="5">
                  <c:v>7.0207986613192191E-2</c:v>
                </c:pt>
                <c:pt idx="6">
                  <c:v>4.9109213434098166E-2</c:v>
                </c:pt>
                <c:pt idx="7">
                  <c:v>4.227030074846079E-2</c:v>
                </c:pt>
                <c:pt idx="8">
                  <c:v>3.0556843914549967E-2</c:v>
                </c:pt>
                <c:pt idx="9">
                  <c:v>2.4736492692730927E-2</c:v>
                </c:pt>
                <c:pt idx="10">
                  <c:v>2.1826317081821405E-2</c:v>
                </c:pt>
                <c:pt idx="11">
                  <c:v>2.0735001227730337E-2</c:v>
                </c:pt>
                <c:pt idx="12">
                  <c:v>2.0298474886093907E-2</c:v>
                </c:pt>
                <c:pt idx="13">
                  <c:v>1.611509744541147E-2</c:v>
                </c:pt>
                <c:pt idx="14">
                  <c:v>1.5551250920797751E-2</c:v>
                </c:pt>
                <c:pt idx="15">
                  <c:v>1.473276403022945E-2</c:v>
                </c:pt>
                <c:pt idx="16">
                  <c:v>1.3459562200456535E-2</c:v>
                </c:pt>
                <c:pt idx="17">
                  <c:v>9.6035795160014179E-3</c:v>
                </c:pt>
                <c:pt idx="18">
                  <c:v>5.820351221819042E-3</c:v>
                </c:pt>
                <c:pt idx="19">
                  <c:v>3.419456342818687E-3</c:v>
                </c:pt>
                <c:pt idx="20">
                  <c:v>2.7282896352276756E-3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30-44C9-AA4F-5125D38D01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7297136"/>
        <c:axId val="2107302896"/>
      </c:barChart>
      <c:lineChart>
        <c:grouping val="standard"/>
        <c:varyColors val="0"/>
        <c:ser>
          <c:idx val="1"/>
          <c:order val="1"/>
          <c:tx>
            <c:strRef>
              <c:f>'Raw Summary'!$J$127</c:f>
              <c:strCache>
                <c:ptCount val="1"/>
                <c:pt idx="0">
                  <c:v>Cumulative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'Raw Summary'!$B$128:$B$148</c:f>
              <c:strCache>
                <c:ptCount val="21"/>
                <c:pt idx="0">
                  <c:v>SSF (D)</c:v>
                </c:pt>
                <c:pt idx="1">
                  <c:v>Teak Sawn Timber</c:v>
                </c:pt>
                <c:pt idx="2">
                  <c:v>SSF (A)</c:v>
                </c:pt>
                <c:pt idx="3">
                  <c:v>SSF (B)</c:v>
                </c:pt>
                <c:pt idx="4">
                  <c:v>SSF (C)</c:v>
                </c:pt>
                <c:pt idx="5">
                  <c:v>BSF (C)</c:v>
                </c:pt>
                <c:pt idx="6">
                  <c:v>Chair Frame (A)</c:v>
                </c:pt>
                <c:pt idx="7">
                  <c:v>DCF (D)</c:v>
                </c:pt>
                <c:pt idx="8">
                  <c:v>BSF (D)</c:v>
                </c:pt>
                <c:pt idx="9">
                  <c:v>BSF (F)</c:v>
                </c:pt>
                <c:pt idx="10">
                  <c:v>DCF (A)</c:v>
                </c:pt>
                <c:pt idx="11">
                  <c:v>CTF (C)</c:v>
                </c:pt>
                <c:pt idx="12">
                  <c:v>BSF (A)</c:v>
                </c:pt>
                <c:pt idx="13">
                  <c:v>CTSF (A)</c:v>
                </c:pt>
                <c:pt idx="14">
                  <c:v>DCF (C)</c:v>
                </c:pt>
                <c:pt idx="15">
                  <c:v>CTF (B)</c:v>
                </c:pt>
                <c:pt idx="16">
                  <c:v>Chair Frame (B)</c:v>
                </c:pt>
                <c:pt idx="17">
                  <c:v>SSF (E)</c:v>
                </c:pt>
                <c:pt idx="18">
                  <c:v>DCF (B)</c:v>
                </c:pt>
                <c:pt idx="19">
                  <c:v>CTF (A)</c:v>
                </c:pt>
                <c:pt idx="20">
                  <c:v>BSF (B)</c:v>
                </c:pt>
              </c:strCache>
            </c:strRef>
          </c:cat>
          <c:val>
            <c:numRef>
              <c:f>'Raw Summary'!$J$128:$J$148</c:f>
              <c:numCache>
                <c:formatCode>0.000</c:formatCode>
                <c:ptCount val="21"/>
                <c:pt idx="0">
                  <c:v>0.16296983421093317</c:v>
                </c:pt>
                <c:pt idx="1">
                  <c:v>0.30568666502969288</c:v>
                </c:pt>
                <c:pt idx="2">
                  <c:v>0.43937285715584901</c:v>
                </c:pt>
                <c:pt idx="3">
                  <c:v>0.56516519793741304</c:v>
                </c:pt>
                <c:pt idx="4">
                  <c:v>0.6388290180885603</c:v>
                </c:pt>
                <c:pt idx="5">
                  <c:v>0.70903700470175246</c:v>
                </c:pt>
                <c:pt idx="6">
                  <c:v>0.75814621813585059</c:v>
                </c:pt>
                <c:pt idx="7">
                  <c:v>0.80041651888431142</c:v>
                </c:pt>
                <c:pt idx="8">
                  <c:v>0.83097336279886136</c:v>
                </c:pt>
                <c:pt idx="9">
                  <c:v>0.85570985549159229</c:v>
                </c:pt>
                <c:pt idx="10">
                  <c:v>0.87753617257341365</c:v>
                </c:pt>
                <c:pt idx="11">
                  <c:v>0.89827117380114396</c:v>
                </c:pt>
                <c:pt idx="12">
                  <c:v>0.91856964868723789</c:v>
                </c:pt>
                <c:pt idx="13">
                  <c:v>0.9346847461326494</c:v>
                </c:pt>
                <c:pt idx="14">
                  <c:v>0.95023599705344719</c:v>
                </c:pt>
                <c:pt idx="15">
                  <c:v>0.96496876108367668</c:v>
                </c:pt>
                <c:pt idx="16">
                  <c:v>0.97842832328413321</c:v>
                </c:pt>
                <c:pt idx="17">
                  <c:v>0.98803190280013464</c:v>
                </c:pt>
                <c:pt idx="18">
                  <c:v>0.99385225402195365</c:v>
                </c:pt>
                <c:pt idx="19">
                  <c:v>0.99727171036477236</c:v>
                </c:pt>
                <c:pt idx="2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30-44C9-AA4F-5125D38D01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0077008"/>
        <c:axId val="2100076048"/>
      </c:lineChart>
      <c:catAx>
        <c:axId val="2107297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7302896"/>
        <c:crosses val="autoZero"/>
        <c:auto val="1"/>
        <c:lblAlgn val="ctr"/>
        <c:lblOffset val="100"/>
        <c:noMultiLvlLbl val="0"/>
      </c:catAx>
      <c:valAx>
        <c:axId val="210730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7297136"/>
        <c:crosses val="autoZero"/>
        <c:crossBetween val="between"/>
      </c:valAx>
      <c:valAx>
        <c:axId val="2100076048"/>
        <c:scaling>
          <c:orientation val="minMax"/>
        </c:scaling>
        <c:delete val="0"/>
        <c:axPos val="r"/>
        <c:numFmt formatCode="0.0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0077008"/>
        <c:crosses val="max"/>
        <c:crossBetween val="between"/>
      </c:valAx>
      <c:catAx>
        <c:axId val="21000770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000760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5" Type="http://schemas.openxmlformats.org/officeDocument/2006/relationships/chart" Target="../charts/chart2.xml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402851</xdr:colOff>
      <xdr:row>27</xdr:row>
      <xdr:rowOff>1</xdr:rowOff>
    </xdr:from>
    <xdr:to>
      <xdr:col>9</xdr:col>
      <xdr:colOff>609599</xdr:colOff>
      <xdr:row>42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2888DF-1749-4EEB-BDA7-19F1AAE634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5</xdr:col>
      <xdr:colOff>352424</xdr:colOff>
      <xdr:row>71</xdr:row>
      <xdr:rowOff>19050</xdr:rowOff>
    </xdr:from>
    <xdr:ext cx="7283903" cy="3737331"/>
    <xdr:pic>
      <xdr:nvPicPr>
        <xdr:cNvPr id="3" name="Picture 2">
          <a:extLst>
            <a:ext uri="{FF2B5EF4-FFF2-40B4-BE49-F238E27FC236}">
              <a16:creationId xmlns:a16="http://schemas.microsoft.com/office/drawing/2014/main" id="{6BEF7DF8-5106-45AF-9838-01F3654A00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00424" y="13003530"/>
          <a:ext cx="7283903" cy="3737331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99</xdr:row>
      <xdr:rowOff>0</xdr:rowOff>
    </xdr:from>
    <xdr:ext cx="6728500" cy="3546486"/>
    <xdr:pic>
      <xdr:nvPicPr>
        <xdr:cNvPr id="4" name="Picture 3">
          <a:extLst>
            <a:ext uri="{FF2B5EF4-FFF2-40B4-BE49-F238E27FC236}">
              <a16:creationId xmlns:a16="http://schemas.microsoft.com/office/drawing/2014/main" id="{7D904CB3-EBF9-4800-A749-8668A66C54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57600" y="18105120"/>
          <a:ext cx="6728500" cy="3546486"/>
        </a:xfrm>
        <a:prstGeom prst="rect">
          <a:avLst/>
        </a:prstGeom>
      </xdr:spPr>
    </xdr:pic>
    <xdr:clientData/>
  </xdr:oneCellAnchor>
  <xdr:oneCellAnchor>
    <xdr:from>
      <xdr:col>5</xdr:col>
      <xdr:colOff>361950</xdr:colOff>
      <xdr:row>49</xdr:row>
      <xdr:rowOff>28575</xdr:rowOff>
    </xdr:from>
    <xdr:ext cx="7274378" cy="3837104"/>
    <xdr:pic>
      <xdr:nvPicPr>
        <xdr:cNvPr id="5" name="Picture 4">
          <a:extLst>
            <a:ext uri="{FF2B5EF4-FFF2-40B4-BE49-F238E27FC236}">
              <a16:creationId xmlns:a16="http://schemas.microsoft.com/office/drawing/2014/main" id="{F1389027-AB43-4BCB-9420-363DA5F59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409950" y="8989695"/>
          <a:ext cx="7274378" cy="3837104"/>
        </a:xfrm>
        <a:prstGeom prst="rect">
          <a:avLst/>
        </a:prstGeom>
      </xdr:spPr>
    </xdr:pic>
    <xdr:clientData/>
  </xdr:oneCellAnchor>
  <xdr:twoCellAnchor>
    <xdr:from>
      <xdr:col>12</xdr:col>
      <xdr:colOff>10885</xdr:colOff>
      <xdr:row>127</xdr:row>
      <xdr:rowOff>10886</xdr:rowOff>
    </xdr:from>
    <xdr:to>
      <xdr:col>21</xdr:col>
      <xdr:colOff>21772</xdr:colOff>
      <xdr:row>145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A7FC43C-5259-467D-929A-92C6F282DF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bdul%20Hadi\Desktop\PRO\bdm\sale_purchase_april_june.xlsx" TargetMode="External"/><Relationship Id="rId1" Type="http://schemas.openxmlformats.org/officeDocument/2006/relationships/externalLinkPath" Target="sale_purchase_april_jun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urchase"/>
      <sheetName val="Raw Sale"/>
      <sheetName val="Retail Sale"/>
      <sheetName val="Retail Summary"/>
    </sheetNames>
    <sheetDataSet>
      <sheetData sheetId="0">
        <row r="1">
          <cell r="A1" t="str">
            <v>Date</v>
          </cell>
        </row>
        <row r="2">
          <cell r="A2">
            <v>45751</v>
          </cell>
          <cell r="F2">
            <v>4960</v>
          </cell>
        </row>
        <row r="3">
          <cell r="A3">
            <v>45751</v>
          </cell>
          <cell r="F3">
            <v>7812</v>
          </cell>
        </row>
        <row r="4">
          <cell r="A4">
            <v>45751</v>
          </cell>
          <cell r="F4">
            <v>10924</v>
          </cell>
        </row>
        <row r="5">
          <cell r="A5">
            <v>45764</v>
          </cell>
          <cell r="F5">
            <v>4450</v>
          </cell>
        </row>
        <row r="6">
          <cell r="A6">
            <v>45764</v>
          </cell>
          <cell r="F6">
            <v>7812</v>
          </cell>
        </row>
        <row r="7">
          <cell r="A7">
            <v>45764</v>
          </cell>
          <cell r="F7">
            <v>3785</v>
          </cell>
        </row>
        <row r="8">
          <cell r="A8">
            <v>45777</v>
          </cell>
          <cell r="F8">
            <v>21525</v>
          </cell>
        </row>
        <row r="9">
          <cell r="A9">
            <v>45777</v>
          </cell>
          <cell r="F9">
            <v>2271</v>
          </cell>
        </row>
        <row r="10">
          <cell r="A10">
            <v>45777</v>
          </cell>
          <cell r="F10">
            <v>26355</v>
          </cell>
        </row>
        <row r="11">
          <cell r="A11">
            <v>45786</v>
          </cell>
          <cell r="F11">
            <v>5462</v>
          </cell>
        </row>
        <row r="12">
          <cell r="A12">
            <v>45786</v>
          </cell>
          <cell r="F12">
            <v>21650</v>
          </cell>
        </row>
        <row r="13">
          <cell r="A13">
            <v>45786</v>
          </cell>
          <cell r="F13">
            <v>2109</v>
          </cell>
        </row>
        <row r="14">
          <cell r="A14">
            <v>45786</v>
          </cell>
          <cell r="F14">
            <v>2550</v>
          </cell>
        </row>
        <row r="15">
          <cell r="A15">
            <v>45794</v>
          </cell>
          <cell r="F15">
            <v>6056</v>
          </cell>
        </row>
        <row r="16">
          <cell r="A16">
            <v>45794</v>
          </cell>
          <cell r="F16">
            <v>16386</v>
          </cell>
        </row>
        <row r="17">
          <cell r="A17">
            <v>45794</v>
          </cell>
          <cell r="F17">
            <v>2550</v>
          </cell>
        </row>
        <row r="18">
          <cell r="A18">
            <v>45804</v>
          </cell>
          <cell r="F18">
            <v>2812</v>
          </cell>
        </row>
        <row r="19">
          <cell r="A19">
            <v>45804</v>
          </cell>
          <cell r="F19">
            <v>8160</v>
          </cell>
        </row>
        <row r="20">
          <cell r="A20">
            <v>45804</v>
          </cell>
          <cell r="F20">
            <v>21650</v>
          </cell>
        </row>
        <row r="21">
          <cell r="A21">
            <v>45804</v>
          </cell>
          <cell r="F21">
            <v>9600</v>
          </cell>
        </row>
        <row r="22">
          <cell r="A22">
            <v>45818</v>
          </cell>
          <cell r="F22">
            <v>8193</v>
          </cell>
        </row>
        <row r="23">
          <cell r="A23">
            <v>45818</v>
          </cell>
          <cell r="F23">
            <v>5640</v>
          </cell>
        </row>
        <row r="24">
          <cell r="A24">
            <v>45818</v>
          </cell>
          <cell r="F24">
            <v>3240</v>
          </cell>
        </row>
        <row r="25">
          <cell r="A25">
            <v>45818</v>
          </cell>
          <cell r="F25">
            <v>1780</v>
          </cell>
        </row>
        <row r="26">
          <cell r="A26">
            <v>45836</v>
          </cell>
          <cell r="F26">
            <v>9600</v>
          </cell>
        </row>
        <row r="27">
          <cell r="A27">
            <v>45836</v>
          </cell>
          <cell r="F27">
            <v>14920</v>
          </cell>
        </row>
        <row r="28">
          <cell r="A28">
            <v>45836</v>
          </cell>
          <cell r="F28">
            <v>3240</v>
          </cell>
        </row>
        <row r="29">
          <cell r="A29" t="str">
            <v>31-06-2025</v>
          </cell>
          <cell r="F29">
            <v>14240</v>
          </cell>
        </row>
        <row r="30">
          <cell r="A30" t="str">
            <v>31-06-2025</v>
          </cell>
          <cell r="F30">
            <v>12990</v>
          </cell>
        </row>
        <row r="31">
          <cell r="A31" t="str">
            <v>31-06-2025</v>
          </cell>
          <cell r="F31">
            <v>2640</v>
          </cell>
        </row>
        <row r="32">
          <cell r="A32" t="str">
            <v>31-06-2025</v>
          </cell>
          <cell r="F32">
            <v>13600</v>
          </cell>
        </row>
        <row r="33">
          <cell r="A33">
            <v>45869</v>
          </cell>
          <cell r="F33">
            <v>4960</v>
          </cell>
        </row>
        <row r="34">
          <cell r="A34">
            <v>45865</v>
          </cell>
          <cell r="F34">
            <v>3480</v>
          </cell>
        </row>
        <row r="35">
          <cell r="A35">
            <v>45865</v>
          </cell>
          <cell r="F35">
            <v>17800</v>
          </cell>
        </row>
        <row r="36">
          <cell r="A36">
            <v>45865</v>
          </cell>
          <cell r="F36">
            <v>4400</v>
          </cell>
        </row>
        <row r="37">
          <cell r="A37">
            <v>45865</v>
          </cell>
          <cell r="F37">
            <v>6150</v>
          </cell>
        </row>
        <row r="38">
          <cell r="A38">
            <v>45865</v>
          </cell>
          <cell r="F38">
            <v>13177.5</v>
          </cell>
        </row>
      </sheetData>
      <sheetData sheetId="1"/>
      <sheetData sheetId="2"/>
      <sheetData sheetId="3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sale_purchase_april_june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sale_purchase_april_june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bdul hadi micro" refreshedDate="46016.467120833331" createdVersion="8" refreshedVersion="8" minRefreshableVersion="3" recordCount="69" xr:uid="{BCD478E8-11AF-462C-8F19-BC5DCC2FE516}">
  <cacheSource type="worksheet">
    <worksheetSource name="Sale" r:id="rId2"/>
  </cacheSource>
  <cacheFields count="10">
    <cacheField name="Date" numFmtId="14">
      <sharedItems containsSemiMixedTypes="0" containsNonDate="0" containsDate="1" containsString="0" minDate="2025-04-02T00:00:00" maxDate="2025-07-30T00:00:00" count="42">
        <d v="2025-04-02T00:00:00"/>
        <d v="2025-04-03T00:00:00"/>
        <d v="2025-04-05T00:00:00"/>
        <d v="2025-04-08T00:00:00"/>
        <d v="2025-04-10T00:00:00"/>
        <d v="2025-04-18T00:00:00"/>
        <d v="2025-04-20T00:00:00"/>
        <d v="2025-04-23T00:00:00"/>
        <d v="2025-04-25T00:00:00"/>
        <d v="2025-04-30T00:00:00"/>
        <d v="2025-05-05T00:00:00"/>
        <d v="2025-05-09T00:00:00"/>
        <d v="2025-05-12T00:00:00"/>
        <d v="2025-05-13T00:00:00"/>
        <d v="2025-05-18T00:00:00"/>
        <d v="2025-05-23T00:00:00"/>
        <d v="2025-05-25T00:00:00"/>
        <d v="2025-05-26T00:00:00"/>
        <d v="2025-05-27T00:00:00"/>
        <d v="2025-05-30T00:00:00"/>
        <d v="2025-06-04T00:00:00"/>
        <d v="2025-06-08T00:00:00"/>
        <d v="2025-06-09T00:00:00"/>
        <d v="2025-06-10T00:00:00"/>
        <d v="2025-06-11T00:00:00"/>
        <d v="2025-06-12T00:00:00"/>
        <d v="2025-06-15T00:00:00"/>
        <d v="2025-06-16T00:00:00"/>
        <d v="2025-06-20T00:00:00"/>
        <d v="2025-06-27T00:00:00"/>
        <d v="2025-06-30T00:00:00"/>
        <d v="2025-07-03T00:00:00"/>
        <d v="2025-07-05T00:00:00"/>
        <d v="2025-07-07T00:00:00"/>
        <d v="2025-07-08T00:00:00"/>
        <d v="2025-07-09T00:00:00"/>
        <d v="2025-07-11T00:00:00"/>
        <d v="2025-07-12T00:00:00"/>
        <d v="2025-07-17T00:00:00"/>
        <d v="2025-07-20T00:00:00"/>
        <d v="2025-07-25T00:00:00"/>
        <d v="2025-07-29T00:00:00"/>
      </sharedItems>
      <fieldGroup par="9"/>
    </cacheField>
    <cacheField name="Item Code" numFmtId="0">
      <sharedItems count="21">
        <s v="CTSF (A)"/>
        <s v="DCF (B)"/>
        <s v="BSF (B)"/>
        <s v="BSF (A)"/>
        <s v="SSF (C)"/>
        <s v="DCF (A)"/>
        <s v="DCF (C)"/>
        <s v="SSF (D)"/>
        <s v="SSF (E)"/>
        <s v="DCF (D)"/>
        <s v="CTF (C)"/>
        <s v="SSF (B)"/>
        <s v="BSF (D)"/>
        <s v="CTF (A)"/>
        <s v="Teak Sawn Timber"/>
        <s v="Chair Frame (B)"/>
        <s v="SSF (A)"/>
        <s v="Chair Frame (A)"/>
        <s v="BSF (F)"/>
        <s v="CTF (B)"/>
        <s v="BSF (C)"/>
      </sharedItems>
    </cacheField>
    <cacheField name="Item Description" numFmtId="0">
      <sharedItems/>
    </cacheField>
    <cacheField name="Qty" numFmtId="0">
      <sharedItems containsSemiMixedTypes="0" containsString="0" containsNumber="1" minValue="1" maxValue="12.55"/>
    </cacheField>
    <cacheField name="Rate" numFmtId="0">
      <sharedItems containsSemiMixedTypes="0" containsString="0" containsNumber="1" containsInteger="1" minValue="623" maxValue="5450"/>
    </cacheField>
    <cacheField name="Total Sales" numFmtId="0">
      <sharedItems containsSemiMixedTypes="0" containsString="0" containsNumber="1" containsInteger="1" minValue="750" maxValue="18000"/>
    </cacheField>
    <cacheField name="Coustomer Type" numFmtId="0">
      <sharedItems count="3">
        <s v="Not Available"/>
        <s v="Carpenter"/>
        <s v="Retail"/>
      </sharedItems>
    </cacheField>
    <cacheField name="Profit Per Product" numFmtId="0">
      <sharedItems containsSemiMixedTypes="0" containsString="0" containsNumber="1" containsInteger="1" minValue="47" maxValue="1120"/>
    </cacheField>
    <cacheField name="Total Profit" numFmtId="0">
      <sharedItems containsSemiMixedTypes="0" containsString="0" containsNumber="1" minValue="47" maxValue="3360"/>
    </cacheField>
    <cacheField name="Date2" numFmtId="0" databaseField="0">
      <fieldGroup base="0">
        <discretePr count="42">
          <x v="0"/>
          <x v="0"/>
          <x v="0"/>
          <x v="0"/>
          <x v="0"/>
          <x v="0"/>
          <x v="0"/>
          <x v="0"/>
          <x v="0"/>
          <x v="1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2"/>
          <x v="0"/>
          <x v="0"/>
          <x v="0"/>
          <x v="0"/>
          <x v="0"/>
          <x v="0"/>
          <x v="0"/>
          <x v="0"/>
          <x v="0"/>
          <x v="0"/>
          <x v="0"/>
        </discretePr>
        <groupItems count="3">
          <s v="Group1"/>
          <d v="2025-04-30T00:00:00"/>
          <d v="2025-06-30T00:00: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hadi micro" refreshedDate="45998.97062847222" createdVersion="8" refreshedVersion="8" minRefreshableVersion="3" recordCount="37" xr:uid="{3851B1AA-7632-4D1A-A0A2-D346CF3FBDCE}">
  <cacheSource type="worksheet">
    <worksheetSource ref="A1:F38" sheet="Purchase" r:id="rId2"/>
  </cacheSource>
  <cacheFields count="6">
    <cacheField name="Date" numFmtId="14">
      <sharedItems containsDate="1" containsMixedTypes="1" minDate="2025-04-04T00:00:00" maxDate="2025-08-01T00:00:00" count="11">
        <d v="2025-04-04T00:00:00"/>
        <d v="2025-04-17T00:00:00"/>
        <d v="2025-04-30T00:00:00"/>
        <d v="2025-05-09T00:00:00"/>
        <d v="2025-05-17T00:00:00"/>
        <d v="2025-05-27T00:00:00"/>
        <d v="2025-06-10T00:00:00"/>
        <d v="2025-06-28T00:00:00"/>
        <s v="31-06-2025"/>
        <d v="2025-07-31T00:00:00"/>
        <d v="2025-07-27T00:00:00"/>
      </sharedItems>
    </cacheField>
    <cacheField name="Item Code" numFmtId="0">
      <sharedItems containsBlank="1" count="22">
        <s v="BSF (A)"/>
        <s v="Chair Frame (B)"/>
        <s v="SSF (B)"/>
        <s v="CTSF (A)"/>
        <s v="Chair Frame (A)"/>
        <s v="CTF (C)"/>
        <s v="SSF (A)"/>
        <s v="Teak Sawn Timber"/>
        <s v="SSF (D)"/>
        <s v="CTF (A)"/>
        <s v="BSF (B)"/>
        <s v="BSF (F)"/>
        <s v="BSF (D)"/>
        <s v="DCF (D)"/>
        <s v="SSF (C)"/>
        <s v="BSF (C)"/>
        <s v="CTF (B)"/>
        <s v="DCF (B)"/>
        <m u="1"/>
        <s v="DCF (C)" u="1"/>
        <s v="SSF (E)" u="1"/>
        <s v="Dining Chair Frame (A)" u="1"/>
      </sharedItems>
    </cacheField>
    <cacheField name="Item Description" numFmtId="0">
      <sharedItems/>
    </cacheField>
    <cacheField name="Qty" numFmtId="0">
      <sharedItems containsSemiMixedTypes="0" containsString="0" containsNumber="1" minValue="2" maxValue="25.1"/>
    </cacheField>
    <cacheField name="Rate" numFmtId="0">
      <sharedItems containsSemiMixedTypes="0" containsString="0" containsNumber="1" containsInteger="1" minValue="540" maxValue="4330"/>
    </cacheField>
    <cacheField name="Total Amount" numFmtId="0">
      <sharedItems containsSemiMixedTypes="0" containsString="0" containsNumber="1" minValue="1780" maxValue="2635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">
  <r>
    <x v="0"/>
    <x v="0"/>
    <s v="Centre Table Side Frame (A)"/>
    <n v="6"/>
    <n v="985"/>
    <n v="5910"/>
    <x v="0"/>
    <n v="95"/>
    <n v="570"/>
  </r>
  <r>
    <x v="1"/>
    <x v="1"/>
    <s v="Dining Chair Frame (B)"/>
    <n v="4"/>
    <n v="660"/>
    <n v="2640"/>
    <x v="1"/>
    <n v="80"/>
    <n v="320"/>
  </r>
  <r>
    <x v="1"/>
    <x v="2"/>
    <s v="Bed Side Frame (B)"/>
    <n v="1"/>
    <n v="1425"/>
    <n v="1425"/>
    <x v="1"/>
    <n v="150"/>
    <n v="150"/>
  </r>
  <r>
    <x v="2"/>
    <x v="3"/>
    <s v="Bed Side Frame (A)"/>
    <n v="1"/>
    <n v="2923"/>
    <n v="2923"/>
    <x v="1"/>
    <n v="443"/>
    <n v="443"/>
  </r>
  <r>
    <x v="3"/>
    <x v="4"/>
    <s v="Sofa Side Frame (C)"/>
    <n v="2"/>
    <n v="4540"/>
    <n v="9080"/>
    <x v="1"/>
    <n v="810"/>
    <n v="1620"/>
  </r>
  <r>
    <x v="4"/>
    <x v="5"/>
    <s v="Dining Chair Frame (A)"/>
    <n v="4"/>
    <n v="700"/>
    <n v="2800"/>
    <x v="2"/>
    <n v="95"/>
    <n v="380"/>
  </r>
  <r>
    <x v="5"/>
    <x v="6"/>
    <s v="Dining Chair Frame (C)"/>
    <n v="4"/>
    <n v="710"/>
    <n v="2840"/>
    <x v="1"/>
    <n v="85"/>
    <n v="340"/>
  </r>
  <r>
    <x v="6"/>
    <x v="7"/>
    <s v="Sofa Side Frame (D)"/>
    <n v="3"/>
    <n v="5450"/>
    <n v="16350"/>
    <x v="1"/>
    <n v="1120"/>
    <n v="3360"/>
  </r>
  <r>
    <x v="7"/>
    <x v="8"/>
    <s v="Sofa Side Frame (E)"/>
    <n v="1"/>
    <n v="2950"/>
    <n v="2950"/>
    <x v="0"/>
    <n v="264"/>
    <n v="264"/>
  </r>
  <r>
    <x v="7"/>
    <x v="9"/>
    <s v="Dining Chair Frame (D)"/>
    <n v="6"/>
    <n v="623"/>
    <n v="3738"/>
    <x v="0"/>
    <n v="83"/>
    <n v="498"/>
  </r>
  <r>
    <x v="8"/>
    <x v="10"/>
    <s v="Centre Table Frame (C)"/>
    <n v="2"/>
    <n v="850"/>
    <n v="1700"/>
    <x v="0"/>
    <n v="93"/>
    <n v="186"/>
  </r>
  <r>
    <x v="9"/>
    <x v="11"/>
    <s v="Sofa Side Frame (B)"/>
    <n v="1"/>
    <n v="3225"/>
    <n v="3225"/>
    <x v="2"/>
    <n v="494"/>
    <n v="494"/>
  </r>
  <r>
    <x v="10"/>
    <x v="5"/>
    <s v="Dining Chair Frame (A)"/>
    <n v="4"/>
    <n v="700"/>
    <n v="2800"/>
    <x v="1"/>
    <n v="95"/>
    <n v="380"/>
  </r>
  <r>
    <x v="11"/>
    <x v="9"/>
    <s v="Dining Chair Frame (D)"/>
    <n v="6"/>
    <n v="623"/>
    <n v="3738"/>
    <x v="1"/>
    <n v="83"/>
    <n v="498"/>
  </r>
  <r>
    <x v="12"/>
    <x v="12"/>
    <s v="Bed Side Frame (D)"/>
    <n v="1"/>
    <n v="1650"/>
    <n v="1650"/>
    <x v="1"/>
    <n v="240"/>
    <n v="240"/>
  </r>
  <r>
    <x v="12"/>
    <x v="9"/>
    <s v="Dining Chair Frame (D)"/>
    <n v="4"/>
    <n v="623"/>
    <n v="2492"/>
    <x v="1"/>
    <n v="83"/>
    <n v="332"/>
  </r>
  <r>
    <x v="13"/>
    <x v="13"/>
    <s v="Centre Table Frame (A)"/>
    <n v="3"/>
    <n v="750"/>
    <n v="2250"/>
    <x v="2"/>
    <n v="47"/>
    <n v="141"/>
  </r>
  <r>
    <x v="13"/>
    <x v="14"/>
    <s v="Teak Sawn Timber Different Cut Size"/>
    <n v="12.55"/>
    <n v="1200"/>
    <n v="15060"/>
    <x v="1"/>
    <n v="150"/>
    <n v="1882.5"/>
  </r>
  <r>
    <x v="14"/>
    <x v="10"/>
    <s v="Centre Table Frame (C)"/>
    <n v="4"/>
    <n v="850"/>
    <n v="3400"/>
    <x v="1"/>
    <n v="93"/>
    <n v="372"/>
  </r>
  <r>
    <x v="14"/>
    <x v="5"/>
    <s v="Dining Chair Frame (A)"/>
    <n v="4"/>
    <n v="700"/>
    <n v="2800"/>
    <x v="2"/>
    <n v="95"/>
    <n v="380"/>
  </r>
  <r>
    <x v="15"/>
    <x v="15"/>
    <s v="Chair Frame (B)"/>
    <n v="6"/>
    <n v="725"/>
    <n v="4350"/>
    <x v="1"/>
    <n v="74"/>
    <n v="444"/>
  </r>
  <r>
    <x v="15"/>
    <x v="16"/>
    <s v="Sofa Side Frame (A)"/>
    <n v="3"/>
    <n v="3600"/>
    <n v="10800"/>
    <x v="1"/>
    <n v="525"/>
    <n v="1575"/>
  </r>
  <r>
    <x v="16"/>
    <x v="15"/>
    <s v="Chair Frame (B)"/>
    <n v="4"/>
    <n v="725"/>
    <n v="2900"/>
    <x v="0"/>
    <n v="74"/>
    <n v="296"/>
  </r>
  <r>
    <x v="16"/>
    <x v="11"/>
    <s v="Sofa Side Frame (B)"/>
    <n v="3"/>
    <n v="3225"/>
    <n v="9675"/>
    <x v="1"/>
    <n v="494"/>
    <n v="1482"/>
  </r>
  <r>
    <x v="17"/>
    <x v="9"/>
    <s v="Dining Chair Frame (D)"/>
    <n v="4"/>
    <n v="623"/>
    <n v="2492"/>
    <x v="2"/>
    <n v="83"/>
    <n v="332"/>
  </r>
  <r>
    <x v="18"/>
    <x v="11"/>
    <s v="Sofa Side Frame (B)"/>
    <n v="1"/>
    <n v="3225"/>
    <n v="3225"/>
    <x v="2"/>
    <n v="494"/>
    <n v="494"/>
  </r>
  <r>
    <x v="18"/>
    <x v="8"/>
    <s v="Sofa Side Frame (E)"/>
    <n v="1"/>
    <n v="2950"/>
    <n v="2950"/>
    <x v="2"/>
    <n v="264"/>
    <n v="264"/>
  </r>
  <r>
    <x v="19"/>
    <x v="14"/>
    <s v="Teak Sawn Timber Different Cut Size"/>
    <n v="7.33"/>
    <n v="1200"/>
    <n v="8796"/>
    <x v="1"/>
    <n v="150"/>
    <n v="1099.5"/>
  </r>
  <r>
    <x v="19"/>
    <x v="16"/>
    <s v="Sofa Side Frame (A)"/>
    <n v="2"/>
    <n v="3600"/>
    <n v="7200"/>
    <x v="1"/>
    <n v="525"/>
    <n v="1050"/>
  </r>
  <r>
    <x v="20"/>
    <x v="11"/>
    <s v="Sofa Side Frame (B)"/>
    <n v="3"/>
    <n v="3225"/>
    <n v="9675"/>
    <x v="1"/>
    <n v="494"/>
    <n v="1482"/>
  </r>
  <r>
    <x v="21"/>
    <x v="3"/>
    <s v="Bed Side Frame (A)"/>
    <n v="1"/>
    <n v="2923"/>
    <n v="2923"/>
    <x v="1"/>
    <n v="443"/>
    <n v="443"/>
  </r>
  <r>
    <x v="22"/>
    <x v="14"/>
    <s v="Teak Sawn Timber Different Cut Size"/>
    <n v="7.33"/>
    <n v="1200"/>
    <n v="8796"/>
    <x v="1"/>
    <n v="150"/>
    <n v="1099.5"/>
  </r>
  <r>
    <x v="22"/>
    <x v="16"/>
    <s v="Sofa Side Frame (A)"/>
    <n v="2"/>
    <n v="3600"/>
    <n v="7200"/>
    <x v="1"/>
    <n v="525"/>
    <n v="1050"/>
  </r>
  <r>
    <x v="22"/>
    <x v="12"/>
    <s v="Bed Side Frame (D)"/>
    <n v="2"/>
    <n v="1650"/>
    <n v="3300"/>
    <x v="1"/>
    <n v="240"/>
    <n v="480"/>
  </r>
  <r>
    <x v="22"/>
    <x v="10"/>
    <s v="Centre Table Frame (C)"/>
    <n v="2"/>
    <n v="850"/>
    <n v="1700"/>
    <x v="2"/>
    <n v="93"/>
    <n v="186"/>
  </r>
  <r>
    <x v="22"/>
    <x v="17"/>
    <s v="Chair Frame (A)"/>
    <n v="6"/>
    <n v="950"/>
    <n v="5700"/>
    <x v="1"/>
    <n v="150"/>
    <n v="900"/>
  </r>
  <r>
    <x v="23"/>
    <x v="12"/>
    <s v="Bed Side Frame (D)"/>
    <n v="1"/>
    <n v="1650"/>
    <n v="1650"/>
    <x v="1"/>
    <n v="240"/>
    <n v="240"/>
  </r>
  <r>
    <x v="23"/>
    <x v="18"/>
    <s v="Bed Side Frame (F)"/>
    <n v="1"/>
    <n v="3120"/>
    <n v="3120"/>
    <x v="1"/>
    <n v="400"/>
    <n v="400"/>
  </r>
  <r>
    <x v="24"/>
    <x v="7"/>
    <s v="Sofa Side Frame (D)"/>
    <n v="2"/>
    <n v="5450"/>
    <n v="10900"/>
    <x v="0"/>
    <n v="1120"/>
    <n v="2240"/>
  </r>
  <r>
    <x v="24"/>
    <x v="11"/>
    <s v="Sofa Side Frame (B)"/>
    <n v="3"/>
    <n v="3225"/>
    <n v="9675"/>
    <x v="1"/>
    <n v="494"/>
    <n v="1482"/>
  </r>
  <r>
    <x v="25"/>
    <x v="12"/>
    <s v="Bed Side Frame (D)"/>
    <n v="2"/>
    <n v="1650"/>
    <n v="3300"/>
    <x v="1"/>
    <n v="240"/>
    <n v="480"/>
  </r>
  <r>
    <x v="26"/>
    <x v="17"/>
    <s v="Chair Frame (A)"/>
    <n v="6"/>
    <n v="950"/>
    <n v="5700"/>
    <x v="1"/>
    <n v="150"/>
    <n v="900"/>
  </r>
  <r>
    <x v="27"/>
    <x v="16"/>
    <s v="Sofa Side Frame (A)"/>
    <n v="1"/>
    <n v="3600"/>
    <n v="3600"/>
    <x v="1"/>
    <n v="525"/>
    <n v="525"/>
  </r>
  <r>
    <x v="27"/>
    <x v="14"/>
    <s v="Teak Sawn Timber Different Cut Size"/>
    <n v="12.55"/>
    <n v="1200"/>
    <n v="15060"/>
    <x v="1"/>
    <n v="150"/>
    <n v="1882.5"/>
  </r>
  <r>
    <x v="27"/>
    <x v="19"/>
    <s v="Centre Table Frame (B)"/>
    <n v="4"/>
    <n v="1015"/>
    <n v="4060"/>
    <x v="2"/>
    <n v="135"/>
    <n v="540"/>
  </r>
  <r>
    <x v="27"/>
    <x v="12"/>
    <s v="Bed Side Frame (D)"/>
    <n v="1"/>
    <n v="1650"/>
    <n v="1650"/>
    <x v="2"/>
    <n v="240"/>
    <n v="240"/>
  </r>
  <r>
    <x v="28"/>
    <x v="14"/>
    <s v="Teak Sawn Timber Different Cut Size"/>
    <n v="12.55"/>
    <n v="1200"/>
    <n v="15060"/>
    <x v="1"/>
    <n v="150"/>
    <n v="1882.5"/>
  </r>
  <r>
    <x v="28"/>
    <x v="13"/>
    <s v="Centre Table Frame (A)"/>
    <n v="1"/>
    <n v="750"/>
    <n v="750"/>
    <x v="1"/>
    <n v="47"/>
    <n v="47"/>
  </r>
  <r>
    <x v="28"/>
    <x v="16"/>
    <s v="Sofa Side Frame (A)"/>
    <n v="1"/>
    <n v="3600"/>
    <n v="3600"/>
    <x v="1"/>
    <n v="525"/>
    <n v="525"/>
  </r>
  <r>
    <x v="28"/>
    <x v="18"/>
    <s v="Bed Side Frame (F)"/>
    <n v="1"/>
    <n v="3120"/>
    <n v="3120"/>
    <x v="2"/>
    <n v="400"/>
    <n v="400"/>
  </r>
  <r>
    <x v="29"/>
    <x v="11"/>
    <s v="Sofa Side Frame (B)"/>
    <n v="3"/>
    <n v="3225"/>
    <n v="9675"/>
    <x v="1"/>
    <n v="494"/>
    <n v="1482"/>
  </r>
  <r>
    <x v="29"/>
    <x v="10"/>
    <s v="Centre Table Frame (C)"/>
    <n v="3"/>
    <n v="850"/>
    <n v="2550"/>
    <x v="1"/>
    <n v="93"/>
    <n v="279"/>
  </r>
  <r>
    <x v="30"/>
    <x v="7"/>
    <s v="Sofa Side Frame (D)"/>
    <n v="1"/>
    <n v="5450"/>
    <n v="5450"/>
    <x v="1"/>
    <n v="1120"/>
    <n v="1120"/>
  </r>
  <r>
    <x v="31"/>
    <x v="10"/>
    <s v="Centre Table Frame (C)"/>
    <n v="1"/>
    <n v="850"/>
    <n v="850"/>
    <x v="1"/>
    <n v="93"/>
    <n v="93"/>
  </r>
  <r>
    <x v="32"/>
    <x v="17"/>
    <s v="Chair Frame (A)"/>
    <n v="6"/>
    <n v="950"/>
    <n v="5700"/>
    <x v="2"/>
    <n v="150"/>
    <n v="900"/>
  </r>
  <r>
    <x v="33"/>
    <x v="16"/>
    <s v="Sofa Side Frame (A)"/>
    <n v="5"/>
    <n v="3600"/>
    <n v="18000"/>
    <x v="1"/>
    <n v="525"/>
    <n v="2625"/>
  </r>
  <r>
    <x v="33"/>
    <x v="0"/>
    <s v="Centre Table Side Frame (A)"/>
    <n v="2"/>
    <n v="985"/>
    <n v="1970"/>
    <x v="1"/>
    <n v="95"/>
    <n v="190"/>
  </r>
  <r>
    <x v="34"/>
    <x v="4"/>
    <s v="Sofa Side Frame (C)"/>
    <n v="2"/>
    <n v="4540"/>
    <n v="9080"/>
    <x v="0"/>
    <n v="810"/>
    <n v="1620"/>
  </r>
  <r>
    <x v="35"/>
    <x v="7"/>
    <s v="Sofa Side Frame (D)"/>
    <n v="2"/>
    <n v="5450"/>
    <n v="10900"/>
    <x v="1"/>
    <n v="1120"/>
    <n v="2240"/>
  </r>
  <r>
    <x v="36"/>
    <x v="0"/>
    <s v="Centre Table Side Frame (A)"/>
    <n v="1"/>
    <n v="985"/>
    <n v="985"/>
    <x v="2"/>
    <n v="95"/>
    <n v="95"/>
  </r>
  <r>
    <x v="37"/>
    <x v="4"/>
    <s v="Sofa Side Frame (C)"/>
    <n v="1"/>
    <n v="4540"/>
    <n v="4540"/>
    <x v="1"/>
    <n v="810"/>
    <n v="810"/>
  </r>
  <r>
    <x v="37"/>
    <x v="6"/>
    <s v="Dining Chair Frame (C)"/>
    <n v="6"/>
    <n v="710"/>
    <n v="4260"/>
    <x v="2"/>
    <n v="85"/>
    <n v="510"/>
  </r>
  <r>
    <x v="37"/>
    <x v="20"/>
    <s v="Bed Side Frame (C)"/>
    <n v="1"/>
    <n v="4525"/>
    <n v="4525"/>
    <x v="2"/>
    <n v="965"/>
    <n v="965"/>
  </r>
  <r>
    <x v="38"/>
    <x v="20"/>
    <s v="Bed Side Frame (C)"/>
    <n v="3"/>
    <n v="4525"/>
    <n v="13575"/>
    <x v="1"/>
    <n v="965"/>
    <n v="2895"/>
  </r>
  <r>
    <x v="38"/>
    <x v="9"/>
    <s v="Dining Chair Frame (D)"/>
    <n v="4"/>
    <n v="623"/>
    <n v="2492"/>
    <x v="0"/>
    <n v="83"/>
    <n v="332"/>
  </r>
  <r>
    <x v="39"/>
    <x v="18"/>
    <s v="Bed Side Frame (F)"/>
    <n v="1"/>
    <n v="3120"/>
    <n v="3120"/>
    <x v="2"/>
    <n v="400"/>
    <n v="400"/>
  </r>
  <r>
    <x v="39"/>
    <x v="19"/>
    <s v="Centre Table Frame (B)"/>
    <n v="2"/>
    <n v="1015"/>
    <n v="2030"/>
    <x v="2"/>
    <n v="135"/>
    <n v="270"/>
  </r>
  <r>
    <x v="40"/>
    <x v="6"/>
    <s v="Dining Chair Frame (C)"/>
    <n v="6"/>
    <n v="710"/>
    <n v="4260"/>
    <x v="1"/>
    <n v="85"/>
    <n v="510"/>
  </r>
  <r>
    <x v="41"/>
    <x v="9"/>
    <s v="Dining Chair Frame (D)"/>
    <n v="4"/>
    <n v="623"/>
    <n v="2492"/>
    <x v="1"/>
    <n v="83"/>
    <n v="33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x v="0"/>
    <x v="0"/>
    <s v="Bed Side Frame (A)"/>
    <n v="2"/>
    <n v="2480"/>
    <n v="4960"/>
  </r>
  <r>
    <x v="0"/>
    <x v="1"/>
    <s v="Chair Frame (B)"/>
    <n v="12"/>
    <n v="651"/>
    <n v="7812"/>
  </r>
  <r>
    <x v="0"/>
    <x v="2"/>
    <s v="Sofa Side Frame (B)"/>
    <n v="4"/>
    <n v="2731"/>
    <n v="10924"/>
  </r>
  <r>
    <x v="1"/>
    <x v="3"/>
    <s v="Centre Table Side Frame (A)"/>
    <n v="5"/>
    <n v="890"/>
    <n v="4450"/>
  </r>
  <r>
    <x v="1"/>
    <x v="4"/>
    <s v="Chair Frame (A)"/>
    <n v="12"/>
    <n v="651"/>
    <n v="7812"/>
  </r>
  <r>
    <x v="1"/>
    <x v="5"/>
    <s v="Centre Table Frame (C)"/>
    <n v="5"/>
    <n v="757"/>
    <n v="3785"/>
  </r>
  <r>
    <x v="2"/>
    <x v="6"/>
    <s v="Sofa Side Frame (A)"/>
    <n v="7"/>
    <n v="3075"/>
    <n v="21525"/>
  </r>
  <r>
    <x v="2"/>
    <x v="5"/>
    <s v="Centre Table Frame (C)"/>
    <n v="3"/>
    <n v="757"/>
    <n v="2271"/>
  </r>
  <r>
    <x v="2"/>
    <x v="7"/>
    <s v="Teak Sawn Timber Different Cut Size"/>
    <n v="25.1"/>
    <n v="1050"/>
    <n v="26355"/>
  </r>
  <r>
    <x v="3"/>
    <x v="2"/>
    <s v="Sofa Side Frame (B)"/>
    <n v="2"/>
    <n v="2731"/>
    <n v="5462"/>
  </r>
  <r>
    <x v="3"/>
    <x v="8"/>
    <s v="Sofa Side Frame (D)"/>
    <n v="5"/>
    <n v="4330"/>
    <n v="21650"/>
  </r>
  <r>
    <x v="3"/>
    <x v="9"/>
    <s v="Centre Table Frame (A)"/>
    <n v="3"/>
    <n v="703"/>
    <n v="2109"/>
  </r>
  <r>
    <x v="3"/>
    <x v="10"/>
    <s v="Bed Side Frame (B)"/>
    <n v="2"/>
    <n v="1275"/>
    <n v="2550"/>
  </r>
  <r>
    <x v="4"/>
    <x v="5"/>
    <s v="Centre Table Frame (C)"/>
    <n v="8"/>
    <n v="757"/>
    <n v="6056"/>
  </r>
  <r>
    <x v="4"/>
    <x v="2"/>
    <s v="Sofa Side Frame (B)"/>
    <n v="6"/>
    <n v="2731"/>
    <n v="16386"/>
  </r>
  <r>
    <x v="4"/>
    <x v="10"/>
    <s v="Bed Side Frame (B)"/>
    <n v="2"/>
    <n v="1275"/>
    <n v="2550"/>
  </r>
  <r>
    <x v="5"/>
    <x v="9"/>
    <s v="Centre Table Frame (A)"/>
    <n v="4"/>
    <n v="703"/>
    <n v="2812"/>
  </r>
  <r>
    <x v="5"/>
    <x v="11"/>
    <s v="Bed Side Frame (F)"/>
    <n v="3"/>
    <n v="2720"/>
    <n v="8160"/>
  </r>
  <r>
    <x v="5"/>
    <x v="8"/>
    <s v="Sofa Side Frame (D)"/>
    <n v="5"/>
    <n v="4330"/>
    <n v="21650"/>
  </r>
  <r>
    <x v="5"/>
    <x v="4"/>
    <s v="Chair Frame (A)"/>
    <n v="12"/>
    <n v="800"/>
    <n v="9600"/>
  </r>
  <r>
    <x v="6"/>
    <x v="2"/>
    <s v="Sofa Side Frame (B)"/>
    <n v="3"/>
    <n v="2731"/>
    <n v="8193"/>
  </r>
  <r>
    <x v="6"/>
    <x v="12"/>
    <s v="Bed Side Frame (D)"/>
    <n v="4"/>
    <n v="1410"/>
    <n v="5640"/>
  </r>
  <r>
    <x v="6"/>
    <x v="13"/>
    <s v="Dining Chair Frame (D)"/>
    <n v="6"/>
    <n v="540"/>
    <n v="3240"/>
  </r>
  <r>
    <x v="6"/>
    <x v="3"/>
    <s v="Centre Table Side Frame (A)"/>
    <n v="2"/>
    <n v="890"/>
    <n v="1780"/>
  </r>
  <r>
    <x v="7"/>
    <x v="4"/>
    <s v="Chair Frame (A)"/>
    <n v="12"/>
    <n v="800"/>
    <n v="9600"/>
  </r>
  <r>
    <x v="7"/>
    <x v="14"/>
    <s v="Sofa Side Frame (C)"/>
    <n v="4"/>
    <n v="3730"/>
    <n v="14920"/>
  </r>
  <r>
    <x v="7"/>
    <x v="13"/>
    <s v="Dining Chair Frame (D)"/>
    <n v="6"/>
    <n v="540"/>
    <n v="3240"/>
  </r>
  <r>
    <x v="8"/>
    <x v="15"/>
    <s v="Bed Side Frame (C)"/>
    <n v="4"/>
    <n v="3560"/>
    <n v="14240"/>
  </r>
  <r>
    <x v="8"/>
    <x v="8"/>
    <s v="Sofa Side Frame (D)"/>
    <n v="3"/>
    <n v="4330"/>
    <n v="12990"/>
  </r>
  <r>
    <x v="8"/>
    <x v="16"/>
    <s v="Centre Table Frame (B)"/>
    <n v="3"/>
    <n v="880"/>
    <n v="2640"/>
  </r>
  <r>
    <x v="8"/>
    <x v="11"/>
    <s v="Bed Side Frame (F)"/>
    <n v="5"/>
    <n v="2720"/>
    <n v="13600"/>
  </r>
  <r>
    <x v="9"/>
    <x v="0"/>
    <s v="Bed Side Frame (A)"/>
    <n v="2"/>
    <n v="2480"/>
    <n v="4960"/>
  </r>
  <r>
    <x v="10"/>
    <x v="17"/>
    <s v="Dining Chair Frame (B)"/>
    <n v="6"/>
    <n v="580"/>
    <n v="3480"/>
  </r>
  <r>
    <x v="10"/>
    <x v="15"/>
    <s v="Bed Side Frame (C)"/>
    <n v="5"/>
    <n v="3560"/>
    <n v="17800"/>
  </r>
  <r>
    <x v="10"/>
    <x v="16"/>
    <s v="Centre Table Frame (B)"/>
    <n v="5"/>
    <n v="880"/>
    <n v="4400"/>
  </r>
  <r>
    <x v="10"/>
    <x v="6"/>
    <s v="Sofa Side Frame (A)"/>
    <n v="2"/>
    <n v="3075"/>
    <n v="6150"/>
  </r>
  <r>
    <x v="10"/>
    <x v="7"/>
    <s v="Teak Sawn Timber Different Cut Size"/>
    <n v="12.55"/>
    <n v="1050"/>
    <n v="13177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52E53D-1B52-48D3-944A-4263BBDC2131}" name="PivotTable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C31:D35" firstHeaderRow="1" firstDataRow="1" firstDataCol="1"/>
  <pivotFields count="10">
    <pivotField showAll="0">
      <items count="43">
        <item x="0"/>
        <item x="1"/>
        <item x="2"/>
        <item x="3"/>
        <item x="4"/>
        <item x="5"/>
        <item x="6"/>
        <item x="7"/>
        <item x="8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1"/>
        <item x="32"/>
        <item x="33"/>
        <item x="34"/>
        <item x="35"/>
        <item x="36"/>
        <item x="37"/>
        <item x="38"/>
        <item x="39"/>
        <item x="40"/>
        <item x="41"/>
        <item x="9"/>
        <item x="30"/>
        <item t="default"/>
      </items>
    </pivotField>
    <pivotField showAll="0"/>
    <pivotField showAll="0"/>
    <pivotField showAll="0"/>
    <pivotField showAll="0"/>
    <pivotField dataField="1"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>
      <items count="4">
        <item x="0"/>
        <item x="1"/>
        <item x="2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Sales" fld="5" baseField="0" baseItem="0"/>
  </dataFields>
  <chartFormats count="4"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F36CCC-349A-4F4B-9789-583BEDCE3F7F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5">
  <location ref="B100:D119" firstHeaderRow="0" firstDataRow="1" firstDataCol="1" rowPageCount="1" colPageCount="1"/>
  <pivotFields count="6">
    <pivotField axis="axisPage" numFmtId="14" showAll="0">
      <items count="12">
        <item x="8"/>
        <item x="0"/>
        <item x="1"/>
        <item x="2"/>
        <item x="3"/>
        <item x="4"/>
        <item x="5"/>
        <item x="6"/>
        <item x="7"/>
        <item x="10"/>
        <item x="9"/>
        <item t="default"/>
      </items>
    </pivotField>
    <pivotField axis="axisRow" showAll="0" sortType="ascending">
      <items count="23">
        <item x="0"/>
        <item x="10"/>
        <item x="15"/>
        <item x="12"/>
        <item x="11"/>
        <item x="4"/>
        <item x="1"/>
        <item x="9"/>
        <item x="16"/>
        <item x="5"/>
        <item x="3"/>
        <item x="17"/>
        <item m="1" x="19"/>
        <item x="13"/>
        <item m="1" x="21"/>
        <item x="6"/>
        <item x="2"/>
        <item x="14"/>
        <item x="8"/>
        <item m="1" x="20"/>
        <item x="7"/>
        <item m="1" x="18"/>
        <item t="default"/>
      </items>
    </pivotField>
    <pivotField showAll="0"/>
    <pivotField dataField="1" showAll="0"/>
    <pivotField showAll="0"/>
    <pivotField dataField="1" showAll="0"/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3"/>
    </i>
    <i>
      <x v="15"/>
    </i>
    <i>
      <x v="16"/>
    </i>
    <i>
      <x v="17"/>
    </i>
    <i>
      <x v="18"/>
    </i>
    <i>
      <x v="20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Sum of Total Amount" fld="5" baseField="0" baseItem="0"/>
    <dataField name="Sum of Qty" fld="3" baseField="0" baseItem="0"/>
  </dataFields>
  <chartFormats count="2">
    <chartFormat chart="1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1583A1-9B24-43A5-932E-522832F3ED20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0">
  <location ref="B50:D72" firstHeaderRow="0" firstDataRow="1" firstDataCol="1"/>
  <pivotFields count="10">
    <pivotField multipleItemSelectionAllowed="1" showAll="0" sortType="descending">
      <items count="43">
        <item sd="0" x="41"/>
        <item sd="0" x="40"/>
        <item sd="0" x="39"/>
        <item sd="0" x="38"/>
        <item sd="0" x="37"/>
        <item sd="0" x="36"/>
        <item sd="0" x="35"/>
        <item sd="0" x="34"/>
        <item sd="0" x="33"/>
        <item sd="0" x="32"/>
        <item sd="0" x="31"/>
        <item x="30"/>
        <item sd="0" x="29"/>
        <item sd="0" x="28"/>
        <item sd="0" x="27"/>
        <item sd="0" x="26"/>
        <item sd="0" x="25"/>
        <item sd="0" x="24"/>
        <item sd="0" x="23"/>
        <item sd="0" x="22"/>
        <item sd="0" x="21"/>
        <item sd="0" x="20"/>
        <item sd="0" x="19"/>
        <item sd="0" x="18"/>
        <item sd="0" x="17"/>
        <item sd="0" x="16"/>
        <item sd="0" x="15"/>
        <item sd="0" x="14"/>
        <item sd="0" x="13"/>
        <item sd="0" x="12"/>
        <item sd="0" x="11"/>
        <item sd="0" x="10"/>
        <item x="9"/>
        <item sd="0" x="8"/>
        <item sd="0" x="7"/>
        <item sd="0" x="6"/>
        <item sd="0" x="5"/>
        <item sd="0" x="4"/>
        <item sd="0" x="3"/>
        <item sd="0" x="2"/>
        <item sd="0" x="1"/>
        <item sd="0" x="0"/>
        <item t="default" sd="0"/>
      </items>
    </pivotField>
    <pivotField axis="axisRow" showAll="0">
      <items count="22">
        <item x="14"/>
        <item x="8"/>
        <item x="7"/>
        <item x="4"/>
        <item x="11"/>
        <item x="16"/>
        <item x="9"/>
        <item x="6"/>
        <item x="1"/>
        <item x="5"/>
        <item x="0"/>
        <item x="10"/>
        <item x="19"/>
        <item x="13"/>
        <item x="15"/>
        <item x="17"/>
        <item x="18"/>
        <item x="12"/>
        <item x="20"/>
        <item x="2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dataField="1" showAll="0"/>
    <pivotField showAll="0">
      <items count="4">
        <item x="0"/>
        <item x="1"/>
        <item x="2"/>
        <item t="default"/>
      </items>
    </pivotField>
  </pivotFields>
  <rowFields count="1">
    <field x="1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Sales" fld="5" baseField="0" baseItem="0"/>
    <dataField name="Sum of Total Profi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E85D6-D756-46D6-B00B-8D6E967007C4}">
  <dimension ref="A1:P185"/>
  <sheetViews>
    <sheetView tabSelected="1" topLeftCell="A68" zoomScale="70" zoomScaleNormal="70" workbookViewId="0">
      <selection activeCell="E162" sqref="E162"/>
    </sheetView>
  </sheetViews>
  <sheetFormatPr defaultRowHeight="14.4"/>
  <cols>
    <col min="2" max="2" width="16.77734375" bestFit="1" customWidth="1"/>
    <col min="3" max="3" width="13.88671875" bestFit="1" customWidth="1"/>
    <col min="4" max="4" width="16.77734375" bestFit="1" customWidth="1"/>
    <col min="5" max="5" width="18.109375" bestFit="1" customWidth="1"/>
    <col min="6" max="6" width="17.21875" bestFit="1" customWidth="1"/>
    <col min="7" max="8" width="20.33203125" bestFit="1" customWidth="1"/>
    <col min="9" max="9" width="18.77734375" bestFit="1" customWidth="1"/>
    <col min="10" max="10" width="15.109375" bestFit="1" customWidth="1"/>
    <col min="11" max="11" width="12.44140625" bestFit="1" customWidth="1"/>
    <col min="14" max="14" width="18" bestFit="1" customWidth="1"/>
    <col min="17" max="17" width="13.44140625" bestFit="1" customWidth="1"/>
    <col min="18" max="18" width="20.33203125" bestFit="1" customWidth="1"/>
  </cols>
  <sheetData>
    <row r="1" spans="1:16" ht="23.4" customHeight="1">
      <c r="A1" s="22"/>
      <c r="B1" s="22"/>
      <c r="C1" s="1" t="s">
        <v>73</v>
      </c>
      <c r="D1" s="1"/>
      <c r="E1" s="1"/>
      <c r="F1" s="1"/>
      <c r="G1" s="1"/>
      <c r="H1" s="1"/>
      <c r="I1" s="1"/>
      <c r="J1" s="1"/>
      <c r="K1" s="1"/>
      <c r="L1" s="1"/>
      <c r="M1" s="1"/>
      <c r="N1" s="22"/>
      <c r="O1" s="22"/>
      <c r="P1" s="22"/>
    </row>
    <row r="3" spans="1:16" ht="21" customHeight="1">
      <c r="B3" s="18" t="s">
        <v>72</v>
      </c>
      <c r="C3" s="16">
        <f>SUM([1]!Sale[Total Sales])</f>
        <v>369152</v>
      </c>
      <c r="E3" s="21" t="s">
        <v>49</v>
      </c>
      <c r="F3" s="21" t="s">
        <v>48</v>
      </c>
      <c r="G3" s="21" t="s">
        <v>47</v>
      </c>
      <c r="H3" s="21" t="s">
        <v>46</v>
      </c>
      <c r="I3" s="21" t="s">
        <v>45</v>
      </c>
      <c r="J3" s="21" t="s">
        <v>71</v>
      </c>
    </row>
    <row r="4" spans="1:16" ht="24.6" customHeight="1">
      <c r="B4" s="18" t="s">
        <v>70</v>
      </c>
      <c r="C4" s="20">
        <f>SUM([1]Purchase!F2:F38)</f>
        <v>328929.5</v>
      </c>
      <c r="E4" s="13" t="s">
        <v>16</v>
      </c>
      <c r="F4" s="13" t="s">
        <v>15</v>
      </c>
      <c r="G4" s="13">
        <v>2480</v>
      </c>
      <c r="H4" s="13">
        <v>2923</v>
      </c>
      <c r="I4" s="13">
        <f>H4-G4</f>
        <v>443</v>
      </c>
      <c r="J4" s="14">
        <f>I4/G4*100</f>
        <v>17.862903225806452</v>
      </c>
    </row>
    <row r="5" spans="1:16">
      <c r="B5" s="18" t="s">
        <v>69</v>
      </c>
      <c r="C5" s="19">
        <v>54979.5</v>
      </c>
      <c r="E5" s="13" t="s">
        <v>1</v>
      </c>
      <c r="F5" s="13" t="s">
        <v>0</v>
      </c>
      <c r="G5" s="13">
        <v>1275</v>
      </c>
      <c r="H5" s="13">
        <v>1425</v>
      </c>
      <c r="I5" s="13">
        <f>H5-G5</f>
        <v>150</v>
      </c>
      <c r="J5" s="14">
        <f>I5/G5*100</f>
        <v>11.76470588235294</v>
      </c>
    </row>
    <row r="6" spans="1:16">
      <c r="B6" s="18"/>
      <c r="C6" s="16"/>
      <c r="E6" s="13" t="s">
        <v>29</v>
      </c>
      <c r="F6" s="13" t="s">
        <v>28</v>
      </c>
      <c r="G6" s="13">
        <v>3560</v>
      </c>
      <c r="H6" s="13">
        <v>4525</v>
      </c>
      <c r="I6" s="13">
        <f>H6-G6</f>
        <v>965</v>
      </c>
      <c r="J6" s="14">
        <f>I6/G6*100</f>
        <v>27.106741573033709</v>
      </c>
    </row>
    <row r="7" spans="1:16" ht="28.8">
      <c r="B7" s="18" t="s">
        <v>68</v>
      </c>
      <c r="C7" s="16" t="s">
        <v>32</v>
      </c>
      <c r="E7" s="13" t="s">
        <v>24</v>
      </c>
      <c r="F7" s="13" t="s">
        <v>23</v>
      </c>
      <c r="G7" s="13">
        <v>1410</v>
      </c>
      <c r="H7" s="13">
        <v>1650</v>
      </c>
      <c r="I7" s="13">
        <f>H7-G7</f>
        <v>240</v>
      </c>
      <c r="J7" s="14">
        <f>I7/G7*100</f>
        <v>17.021276595744681</v>
      </c>
    </row>
    <row r="8" spans="1:16" ht="23.4" customHeight="1">
      <c r="B8" s="18"/>
      <c r="C8" s="17"/>
      <c r="E8" s="13" t="s">
        <v>22</v>
      </c>
      <c r="F8" s="13" t="s">
        <v>21</v>
      </c>
      <c r="G8" s="13">
        <v>2720</v>
      </c>
      <c r="H8" s="13">
        <v>3120</v>
      </c>
      <c r="I8" s="13">
        <f>H8-G8</f>
        <v>400</v>
      </c>
      <c r="J8" s="14">
        <f>I8/G8*100</f>
        <v>14.705882352941178</v>
      </c>
    </row>
    <row r="9" spans="1:16" ht="31.2" customHeight="1">
      <c r="B9" s="15" t="s">
        <v>67</v>
      </c>
      <c r="C9" s="16">
        <v>69</v>
      </c>
      <c r="E9" s="13" t="s">
        <v>27</v>
      </c>
      <c r="F9" s="13" t="s">
        <v>27</v>
      </c>
      <c r="G9" s="13">
        <v>800</v>
      </c>
      <c r="H9" s="13">
        <v>950</v>
      </c>
      <c r="I9" s="13">
        <f>H9-G9</f>
        <v>150</v>
      </c>
      <c r="J9" s="14">
        <f>I9/G9*100</f>
        <v>18.75</v>
      </c>
    </row>
    <row r="10" spans="1:16" ht="37.200000000000003" customHeight="1">
      <c r="B10" s="15" t="s">
        <v>66</v>
      </c>
      <c r="C10">
        <f>COUNTA([1]Purchase!A:A)</f>
        <v>38</v>
      </c>
      <c r="E10" s="13" t="s">
        <v>8</v>
      </c>
      <c r="F10" s="13" t="s">
        <v>8</v>
      </c>
      <c r="G10" s="13">
        <v>651</v>
      </c>
      <c r="H10" s="13">
        <v>725</v>
      </c>
      <c r="I10" s="13">
        <f>H10-G10</f>
        <v>74</v>
      </c>
      <c r="J10" s="14">
        <f>I10/G10*100</f>
        <v>11.367127496159753</v>
      </c>
    </row>
    <row r="11" spans="1:16">
      <c r="E11" s="13" t="s">
        <v>3</v>
      </c>
      <c r="F11" s="13" t="s">
        <v>2</v>
      </c>
      <c r="G11" s="13">
        <v>703</v>
      </c>
      <c r="H11" s="13">
        <v>750</v>
      </c>
      <c r="I11" s="13">
        <f>H11-G11</f>
        <v>47</v>
      </c>
      <c r="J11" s="14">
        <f>I11/G11*100</f>
        <v>6.6856330014224756</v>
      </c>
    </row>
    <row r="12" spans="1:16">
      <c r="E12" s="13" t="s">
        <v>10</v>
      </c>
      <c r="F12" s="13" t="s">
        <v>9</v>
      </c>
      <c r="G12" s="13">
        <v>880</v>
      </c>
      <c r="H12" s="13">
        <v>1015</v>
      </c>
      <c r="I12" s="13">
        <f>H12-G12</f>
        <v>135</v>
      </c>
      <c r="J12" s="14">
        <f>I12/G12*100</f>
        <v>15.340909090909092</v>
      </c>
    </row>
    <row r="13" spans="1:16">
      <c r="E13" s="13" t="s">
        <v>18</v>
      </c>
      <c r="F13" s="13" t="s">
        <v>17</v>
      </c>
      <c r="G13" s="13">
        <v>757</v>
      </c>
      <c r="H13" s="13">
        <v>850</v>
      </c>
      <c r="I13" s="13">
        <f>H13-G13</f>
        <v>93</v>
      </c>
      <c r="J13" s="14">
        <f>I13/G13*100</f>
        <v>12.285336856010568</v>
      </c>
    </row>
    <row r="14" spans="1:16">
      <c r="E14" s="13" t="s">
        <v>14</v>
      </c>
      <c r="F14" s="13" t="s">
        <v>13</v>
      </c>
      <c r="G14" s="13">
        <v>890</v>
      </c>
      <c r="H14" s="13">
        <v>985</v>
      </c>
      <c r="I14" s="13">
        <f>H14-G14</f>
        <v>95</v>
      </c>
      <c r="J14" s="14">
        <f>I14/G14*100</f>
        <v>10.674157303370785</v>
      </c>
    </row>
    <row r="15" spans="1:16">
      <c r="E15" s="13" t="s">
        <v>20</v>
      </c>
      <c r="F15" s="13" t="s">
        <v>19</v>
      </c>
      <c r="G15" s="13">
        <v>605</v>
      </c>
      <c r="H15" s="13">
        <v>700</v>
      </c>
      <c r="I15" s="13">
        <f>H15-G15</f>
        <v>95</v>
      </c>
      <c r="J15" s="14">
        <f>I15/G15*100</f>
        <v>15.702479338842975</v>
      </c>
    </row>
    <row r="16" spans="1:16">
      <c r="E16" s="13" t="s">
        <v>5</v>
      </c>
      <c r="F16" s="13" t="s">
        <v>4</v>
      </c>
      <c r="G16" s="13">
        <v>580</v>
      </c>
      <c r="H16" s="13">
        <v>660</v>
      </c>
      <c r="I16" s="13">
        <f>H16-G16</f>
        <v>80</v>
      </c>
      <c r="J16" s="14">
        <f>I16/G16*100</f>
        <v>13.793103448275861</v>
      </c>
    </row>
    <row r="17" spans="2:10">
      <c r="E17" s="13" t="s">
        <v>12</v>
      </c>
      <c r="F17" s="13" t="s">
        <v>11</v>
      </c>
      <c r="G17" s="13">
        <v>625</v>
      </c>
      <c r="H17" s="13">
        <v>710</v>
      </c>
      <c r="I17" s="13">
        <f>H17-G17</f>
        <v>85</v>
      </c>
      <c r="J17" s="14">
        <f>I17/G17*100</f>
        <v>13.600000000000001</v>
      </c>
    </row>
    <row r="18" spans="2:10">
      <c r="E18" s="13" t="s">
        <v>26</v>
      </c>
      <c r="F18" s="13" t="s">
        <v>25</v>
      </c>
      <c r="G18" s="13">
        <v>540</v>
      </c>
      <c r="H18" s="13">
        <v>623</v>
      </c>
      <c r="I18" s="13">
        <f>H18-G18</f>
        <v>83</v>
      </c>
      <c r="J18" s="14">
        <f>I18/G18*100</f>
        <v>15.37037037037037</v>
      </c>
    </row>
    <row r="19" spans="2:10">
      <c r="B19" t="s">
        <v>65</v>
      </c>
      <c r="E19" s="13" t="s">
        <v>35</v>
      </c>
      <c r="F19" s="13" t="s">
        <v>34</v>
      </c>
      <c r="G19" s="13">
        <v>3075</v>
      </c>
      <c r="H19" s="13">
        <v>3600</v>
      </c>
      <c r="I19" s="13">
        <f>H19-G19</f>
        <v>525</v>
      </c>
      <c r="J19" s="14">
        <f>I19/G19*100</f>
        <v>17.073170731707318</v>
      </c>
    </row>
    <row r="20" spans="2:10">
      <c r="E20" s="13" t="s">
        <v>33</v>
      </c>
      <c r="F20" s="13" t="s">
        <v>32</v>
      </c>
      <c r="G20" s="13">
        <v>2731</v>
      </c>
      <c r="H20" s="13">
        <v>3225</v>
      </c>
      <c r="I20" s="13">
        <f>H20-G20</f>
        <v>494</v>
      </c>
      <c r="J20" s="14">
        <f>I20/G20*100</f>
        <v>18.088612229952396</v>
      </c>
    </row>
    <row r="21" spans="2:10">
      <c r="E21" s="13" t="s">
        <v>31</v>
      </c>
      <c r="F21" s="13" t="s">
        <v>30</v>
      </c>
      <c r="G21" s="13">
        <v>3730</v>
      </c>
      <c r="H21" s="13">
        <v>4540</v>
      </c>
      <c r="I21" s="13">
        <f>H21-G21</f>
        <v>810</v>
      </c>
      <c r="J21" s="14">
        <f>I21/G21*100</f>
        <v>21.715817694369974</v>
      </c>
    </row>
    <row r="22" spans="2:10">
      <c r="E22" s="13" t="s">
        <v>39</v>
      </c>
      <c r="F22" s="13" t="s">
        <v>38</v>
      </c>
      <c r="G22" s="13">
        <v>4330</v>
      </c>
      <c r="H22" s="13">
        <v>5450</v>
      </c>
      <c r="I22" s="13">
        <f>H22-G22</f>
        <v>1120</v>
      </c>
      <c r="J22" s="14">
        <f>I22/G22*100</f>
        <v>25.866050808314089</v>
      </c>
    </row>
    <row r="23" spans="2:10">
      <c r="E23" s="13" t="s">
        <v>7</v>
      </c>
      <c r="F23" s="13" t="s">
        <v>6</v>
      </c>
      <c r="G23" s="13">
        <v>2686</v>
      </c>
      <c r="H23" s="13">
        <v>2950</v>
      </c>
      <c r="I23" s="13">
        <f>H23-G23</f>
        <v>264</v>
      </c>
      <c r="J23" s="14">
        <f>I23/G23*100</f>
        <v>9.8287416232315703</v>
      </c>
    </row>
    <row r="24" spans="2:10">
      <c r="E24" s="13" t="s">
        <v>37</v>
      </c>
      <c r="F24" s="13" t="s">
        <v>36</v>
      </c>
      <c r="G24" s="13">
        <v>1050</v>
      </c>
      <c r="H24" s="13">
        <v>1200</v>
      </c>
      <c r="I24" s="13">
        <f>H24-G24</f>
        <v>150</v>
      </c>
      <c r="J24" s="14">
        <f>I24/G24*100</f>
        <v>14.285714285714285</v>
      </c>
    </row>
    <row r="25" spans="2:10">
      <c r="E25" s="13" t="s">
        <v>64</v>
      </c>
      <c r="G25">
        <f>SUM(G4:G24)</f>
        <v>36078</v>
      </c>
      <c r="H25">
        <f>SUM(H4:H24)</f>
        <v>42576</v>
      </c>
    </row>
    <row r="27" spans="2:10" ht="18">
      <c r="B27" s="12" t="s">
        <v>63</v>
      </c>
      <c r="C27" s="11"/>
      <c r="D27" s="11"/>
      <c r="E27" s="11"/>
    </row>
    <row r="31" spans="2:10">
      <c r="C31" s="10" t="s">
        <v>53</v>
      </c>
      <c r="D31" t="s">
        <v>58</v>
      </c>
    </row>
    <row r="32" spans="2:10">
      <c r="C32" s="9" t="s">
        <v>62</v>
      </c>
      <c r="D32">
        <v>278590</v>
      </c>
    </row>
    <row r="33" spans="2:7">
      <c r="C33" s="9" t="s">
        <v>61</v>
      </c>
      <c r="D33">
        <v>39670</v>
      </c>
    </row>
    <row r="34" spans="2:7">
      <c r="C34" s="9" t="s">
        <v>60</v>
      </c>
      <c r="D34">
        <v>50892</v>
      </c>
    </row>
    <row r="35" spans="2:7">
      <c r="C35" s="9" t="s">
        <v>50</v>
      </c>
      <c r="D35">
        <v>369152</v>
      </c>
    </row>
    <row r="46" spans="2:7" ht="21">
      <c r="B46" s="1" t="s">
        <v>59</v>
      </c>
      <c r="C46" s="1"/>
      <c r="D46" s="1"/>
      <c r="E46" s="1"/>
      <c r="F46" s="1"/>
      <c r="G46" s="1"/>
    </row>
    <row r="50" spans="2:4">
      <c r="B50" s="10" t="s">
        <v>53</v>
      </c>
      <c r="C50" t="s">
        <v>58</v>
      </c>
      <c r="D50" t="s">
        <v>57</v>
      </c>
    </row>
    <row r="51" spans="2:4">
      <c r="B51" s="9" t="s">
        <v>37</v>
      </c>
      <c r="C51">
        <v>62772</v>
      </c>
      <c r="D51">
        <v>7846.5</v>
      </c>
    </row>
    <row r="52" spans="2:4">
      <c r="B52" s="9" t="s">
        <v>7</v>
      </c>
      <c r="C52">
        <v>5900</v>
      </c>
      <c r="D52">
        <v>528</v>
      </c>
    </row>
    <row r="53" spans="2:4">
      <c r="B53" s="9" t="s">
        <v>39</v>
      </c>
      <c r="C53">
        <v>43600</v>
      </c>
      <c r="D53">
        <v>8960</v>
      </c>
    </row>
    <row r="54" spans="2:4">
      <c r="B54" s="9" t="s">
        <v>31</v>
      </c>
      <c r="C54">
        <v>22700</v>
      </c>
      <c r="D54">
        <v>4050</v>
      </c>
    </row>
    <row r="55" spans="2:4">
      <c r="B55" s="9" t="s">
        <v>33</v>
      </c>
      <c r="C55">
        <v>45150</v>
      </c>
      <c r="D55">
        <v>6916</v>
      </c>
    </row>
    <row r="56" spans="2:4">
      <c r="B56" s="9" t="s">
        <v>35</v>
      </c>
      <c r="C56">
        <v>50400</v>
      </c>
      <c r="D56">
        <v>7350</v>
      </c>
    </row>
    <row r="57" spans="2:4">
      <c r="B57" s="9" t="s">
        <v>26</v>
      </c>
      <c r="C57">
        <v>17444</v>
      </c>
      <c r="D57">
        <v>2324</v>
      </c>
    </row>
    <row r="58" spans="2:4">
      <c r="B58" s="9" t="s">
        <v>12</v>
      </c>
      <c r="C58">
        <v>11360</v>
      </c>
      <c r="D58">
        <v>1360</v>
      </c>
    </row>
    <row r="59" spans="2:4">
      <c r="B59" s="9" t="s">
        <v>5</v>
      </c>
      <c r="C59">
        <v>2640</v>
      </c>
      <c r="D59">
        <v>320</v>
      </c>
    </row>
    <row r="60" spans="2:4">
      <c r="B60" s="9" t="s">
        <v>20</v>
      </c>
      <c r="C60">
        <v>8400</v>
      </c>
      <c r="D60">
        <v>1140</v>
      </c>
    </row>
    <row r="61" spans="2:4">
      <c r="B61" s="9" t="s">
        <v>14</v>
      </c>
      <c r="C61">
        <v>8865</v>
      </c>
      <c r="D61">
        <v>855</v>
      </c>
    </row>
    <row r="62" spans="2:4">
      <c r="B62" s="9" t="s">
        <v>18</v>
      </c>
      <c r="C62">
        <v>10200</v>
      </c>
      <c r="D62">
        <v>1116</v>
      </c>
    </row>
    <row r="63" spans="2:4">
      <c r="B63" s="9" t="s">
        <v>10</v>
      </c>
      <c r="C63">
        <v>6090</v>
      </c>
      <c r="D63">
        <v>810</v>
      </c>
    </row>
    <row r="64" spans="2:4">
      <c r="B64" s="9" t="s">
        <v>3</v>
      </c>
      <c r="C64">
        <v>3000</v>
      </c>
      <c r="D64">
        <v>188</v>
      </c>
    </row>
    <row r="65" spans="2:4">
      <c r="B65" s="9" t="s">
        <v>8</v>
      </c>
      <c r="C65">
        <v>7250</v>
      </c>
      <c r="D65">
        <v>740</v>
      </c>
    </row>
    <row r="66" spans="2:4">
      <c r="B66" s="9" t="s">
        <v>27</v>
      </c>
      <c r="C66">
        <v>17100</v>
      </c>
      <c r="D66">
        <v>2700</v>
      </c>
    </row>
    <row r="67" spans="2:4">
      <c r="B67" s="9" t="s">
        <v>22</v>
      </c>
      <c r="C67">
        <v>9360</v>
      </c>
      <c r="D67">
        <v>1200</v>
      </c>
    </row>
    <row r="68" spans="2:4">
      <c r="B68" s="9" t="s">
        <v>24</v>
      </c>
      <c r="C68">
        <v>11550</v>
      </c>
      <c r="D68">
        <v>1680</v>
      </c>
    </row>
    <row r="69" spans="2:4">
      <c r="B69" s="9" t="s">
        <v>29</v>
      </c>
      <c r="C69">
        <v>18100</v>
      </c>
      <c r="D69">
        <v>3860</v>
      </c>
    </row>
    <row r="70" spans="2:4">
      <c r="B70" s="9" t="s">
        <v>1</v>
      </c>
      <c r="C70">
        <v>1425</v>
      </c>
      <c r="D70">
        <v>150</v>
      </c>
    </row>
    <row r="71" spans="2:4">
      <c r="B71" s="9" t="s">
        <v>16</v>
      </c>
      <c r="C71">
        <v>5846</v>
      </c>
      <c r="D71">
        <v>886</v>
      </c>
    </row>
    <row r="72" spans="2:4">
      <c r="B72" s="9" t="s">
        <v>50</v>
      </c>
      <c r="C72">
        <v>369152</v>
      </c>
      <c r="D72">
        <v>54979.5</v>
      </c>
    </row>
    <row r="96" spans="2:7" ht="21">
      <c r="B96" s="1" t="s">
        <v>56</v>
      </c>
      <c r="C96" s="1"/>
      <c r="D96" s="1"/>
      <c r="E96" s="1"/>
      <c r="F96" s="1"/>
      <c r="G96" s="1"/>
    </row>
    <row r="98" spans="2:4">
      <c r="B98" s="10" t="s">
        <v>55</v>
      </c>
      <c r="C98" t="s">
        <v>54</v>
      </c>
    </row>
    <row r="100" spans="2:4">
      <c r="B100" s="10" t="s">
        <v>53</v>
      </c>
      <c r="C100" t="s">
        <v>52</v>
      </c>
      <c r="D100" t="s">
        <v>51</v>
      </c>
    </row>
    <row r="101" spans="2:4">
      <c r="B101" s="9" t="s">
        <v>16</v>
      </c>
      <c r="C101">
        <v>9920</v>
      </c>
      <c r="D101">
        <v>4</v>
      </c>
    </row>
    <row r="102" spans="2:4">
      <c r="B102" s="9" t="s">
        <v>1</v>
      </c>
      <c r="C102">
        <v>5100</v>
      </c>
      <c r="D102">
        <v>4</v>
      </c>
    </row>
    <row r="103" spans="2:4">
      <c r="B103" s="9" t="s">
        <v>29</v>
      </c>
      <c r="C103">
        <v>32040</v>
      </c>
      <c r="D103">
        <v>9</v>
      </c>
    </row>
    <row r="104" spans="2:4">
      <c r="B104" s="9" t="s">
        <v>24</v>
      </c>
      <c r="C104">
        <v>5640</v>
      </c>
      <c r="D104">
        <v>4</v>
      </c>
    </row>
    <row r="105" spans="2:4">
      <c r="B105" s="9" t="s">
        <v>22</v>
      </c>
      <c r="C105">
        <v>21760</v>
      </c>
      <c r="D105">
        <v>8</v>
      </c>
    </row>
    <row r="106" spans="2:4">
      <c r="B106" s="9" t="s">
        <v>27</v>
      </c>
      <c r="C106">
        <v>27012</v>
      </c>
      <c r="D106">
        <v>36</v>
      </c>
    </row>
    <row r="107" spans="2:4">
      <c r="B107" s="9" t="s">
        <v>8</v>
      </c>
      <c r="C107">
        <v>7812</v>
      </c>
      <c r="D107">
        <v>12</v>
      </c>
    </row>
    <row r="108" spans="2:4">
      <c r="B108" s="9" t="s">
        <v>3</v>
      </c>
      <c r="C108">
        <v>4921</v>
      </c>
      <c r="D108">
        <v>7</v>
      </c>
    </row>
    <row r="109" spans="2:4">
      <c r="B109" s="9" t="s">
        <v>10</v>
      </c>
      <c r="C109">
        <v>7040</v>
      </c>
      <c r="D109">
        <v>8</v>
      </c>
    </row>
    <row r="110" spans="2:4">
      <c r="B110" s="9" t="s">
        <v>18</v>
      </c>
      <c r="C110">
        <v>12112</v>
      </c>
      <c r="D110">
        <v>16</v>
      </c>
    </row>
    <row r="111" spans="2:4">
      <c r="B111" s="9" t="s">
        <v>14</v>
      </c>
      <c r="C111">
        <v>6230</v>
      </c>
      <c r="D111">
        <v>7</v>
      </c>
    </row>
    <row r="112" spans="2:4">
      <c r="B112" s="9" t="s">
        <v>5</v>
      </c>
      <c r="C112">
        <v>3480</v>
      </c>
      <c r="D112">
        <v>6</v>
      </c>
    </row>
    <row r="113" spans="2:11">
      <c r="B113" s="9" t="s">
        <v>26</v>
      </c>
      <c r="C113">
        <v>6480</v>
      </c>
      <c r="D113">
        <v>12</v>
      </c>
    </row>
    <row r="114" spans="2:11">
      <c r="B114" s="9" t="s">
        <v>35</v>
      </c>
      <c r="C114">
        <v>27675</v>
      </c>
      <c r="D114">
        <v>9</v>
      </c>
    </row>
    <row r="115" spans="2:11">
      <c r="B115" s="9" t="s">
        <v>33</v>
      </c>
      <c r="C115">
        <v>40965</v>
      </c>
      <c r="D115">
        <v>15</v>
      </c>
    </row>
    <row r="116" spans="2:11">
      <c r="B116" s="9" t="s">
        <v>31</v>
      </c>
      <c r="C116">
        <v>14920</v>
      </c>
      <c r="D116">
        <v>4</v>
      </c>
    </row>
    <row r="117" spans="2:11">
      <c r="B117" s="9" t="s">
        <v>39</v>
      </c>
      <c r="C117">
        <v>56290</v>
      </c>
      <c r="D117">
        <v>13</v>
      </c>
    </row>
    <row r="118" spans="2:11">
      <c r="B118" s="9" t="s">
        <v>37</v>
      </c>
      <c r="C118">
        <v>39532.5</v>
      </c>
      <c r="D118">
        <v>37.650000000000006</v>
      </c>
    </row>
    <row r="119" spans="2:11">
      <c r="B119" s="9" t="s">
        <v>50</v>
      </c>
      <c r="C119">
        <v>328929.5</v>
      </c>
      <c r="D119">
        <v>211.65</v>
      </c>
    </row>
    <row r="120" spans="2:11" ht="17.399999999999999" customHeight="1"/>
    <row r="123" spans="2:11" ht="21">
      <c r="B123" s="1" t="s">
        <v>74</v>
      </c>
      <c r="C123" s="1"/>
      <c r="D123" s="1"/>
      <c r="E123" s="1"/>
      <c r="F123" s="1"/>
      <c r="G123" s="1"/>
    </row>
    <row r="126" spans="2:11" ht="15" thickBot="1"/>
    <row r="127" spans="2:11" ht="29.4" thickBot="1">
      <c r="B127" s="8" t="s">
        <v>49</v>
      </c>
      <c r="C127" s="7" t="s">
        <v>48</v>
      </c>
      <c r="D127" s="7" t="s">
        <v>47</v>
      </c>
      <c r="E127" s="7" t="s">
        <v>46</v>
      </c>
      <c r="F127" s="7" t="s">
        <v>45</v>
      </c>
      <c r="G127" s="7" t="s">
        <v>44</v>
      </c>
      <c r="H127" s="7" t="s">
        <v>43</v>
      </c>
      <c r="I127" s="6" t="s">
        <v>42</v>
      </c>
      <c r="J127" s="6" t="s">
        <v>41</v>
      </c>
      <c r="K127" s="5" t="s">
        <v>40</v>
      </c>
    </row>
    <row r="128" spans="2:11" ht="29.4" thickBot="1">
      <c r="B128" s="4" t="s">
        <v>39</v>
      </c>
      <c r="C128" s="4" t="s">
        <v>38</v>
      </c>
      <c r="D128" s="4">
        <v>4330</v>
      </c>
      <c r="E128" s="4">
        <v>5450</v>
      </c>
      <c r="F128" s="4">
        <v>1120</v>
      </c>
      <c r="G128" s="4">
        <v>8</v>
      </c>
      <c r="H128" s="4">
        <v>8960</v>
      </c>
      <c r="I128" s="3">
        <f>H128/54979.5</f>
        <v>0.16296983421093317</v>
      </c>
      <c r="J128" s="3">
        <f>I128</f>
        <v>0.16296983421093317</v>
      </c>
      <c r="K128" s="2" t="str">
        <f>IF(J128&lt;=0.8,"A", IF(J128&lt;=0.9,"B","C"))</f>
        <v>A</v>
      </c>
    </row>
    <row r="129" spans="2:11" ht="58.2" thickBot="1">
      <c r="B129" s="4" t="s">
        <v>37</v>
      </c>
      <c r="C129" s="4" t="s">
        <v>36</v>
      </c>
      <c r="D129" s="4">
        <v>1050</v>
      </c>
      <c r="E129" s="4">
        <v>1200</v>
      </c>
      <c r="F129" s="4">
        <v>150</v>
      </c>
      <c r="G129" s="4">
        <v>52.31</v>
      </c>
      <c r="H129" s="4">
        <v>7846.5</v>
      </c>
      <c r="I129" s="3">
        <f>H129/54979.5</f>
        <v>0.14271683081875972</v>
      </c>
      <c r="J129" s="3">
        <f>J128+I129</f>
        <v>0.30568666502969288</v>
      </c>
      <c r="K129" s="2" t="str">
        <f>IF(J129&lt;=0.8,"A", IF(J129&lt;=0.9,"B","C"))</f>
        <v>A</v>
      </c>
    </row>
    <row r="130" spans="2:11" ht="29.4" thickBot="1">
      <c r="B130" s="4" t="s">
        <v>35</v>
      </c>
      <c r="C130" s="4" t="s">
        <v>34</v>
      </c>
      <c r="D130" s="4">
        <v>3075</v>
      </c>
      <c r="E130" s="4">
        <v>3600</v>
      </c>
      <c r="F130" s="4">
        <v>525</v>
      </c>
      <c r="G130" s="4">
        <v>14</v>
      </c>
      <c r="H130" s="4">
        <v>7350</v>
      </c>
      <c r="I130" s="3">
        <f>H130/54979.5</f>
        <v>0.13368619212615612</v>
      </c>
      <c r="J130" s="3">
        <f>J129+I130</f>
        <v>0.43937285715584901</v>
      </c>
      <c r="K130" s="2" t="str">
        <f>IF(J130&lt;=0.8,"A", IF(J130&lt;=0.9,"B","C"))</f>
        <v>A</v>
      </c>
    </row>
    <row r="131" spans="2:11" ht="29.4" thickBot="1">
      <c r="B131" s="4" t="s">
        <v>33</v>
      </c>
      <c r="C131" s="4" t="s">
        <v>32</v>
      </c>
      <c r="D131" s="4">
        <v>2731</v>
      </c>
      <c r="E131" s="4">
        <v>3225</v>
      </c>
      <c r="F131" s="4">
        <v>494</v>
      </c>
      <c r="G131" s="4">
        <v>14</v>
      </c>
      <c r="H131" s="4">
        <v>6916</v>
      </c>
      <c r="I131" s="3">
        <f>H131/54979.5</f>
        <v>0.12579234078156404</v>
      </c>
      <c r="J131" s="3">
        <f>J130+I131</f>
        <v>0.56516519793741304</v>
      </c>
      <c r="K131" s="2" t="str">
        <f>IF(J131&lt;=0.8,"A", IF(J131&lt;=0.9,"B","C"))</f>
        <v>A</v>
      </c>
    </row>
    <row r="132" spans="2:11" ht="29.4" thickBot="1">
      <c r="B132" s="4" t="s">
        <v>31</v>
      </c>
      <c r="C132" s="4" t="s">
        <v>30</v>
      </c>
      <c r="D132" s="4">
        <v>3730</v>
      </c>
      <c r="E132" s="4">
        <v>4540</v>
      </c>
      <c r="F132" s="4">
        <v>810</v>
      </c>
      <c r="G132" s="4">
        <v>5</v>
      </c>
      <c r="H132" s="4">
        <v>4050</v>
      </c>
      <c r="I132" s="3">
        <f>H132/54979.5</f>
        <v>7.3663820151147252E-2</v>
      </c>
      <c r="J132" s="3">
        <f>J131+I132</f>
        <v>0.6388290180885603</v>
      </c>
      <c r="K132" s="2" t="str">
        <f>IF(J132&lt;=0.8,"A", IF(J132&lt;=0.9,"B","C"))</f>
        <v>A</v>
      </c>
    </row>
    <row r="133" spans="2:11" ht="29.4" thickBot="1">
      <c r="B133" s="4" t="s">
        <v>29</v>
      </c>
      <c r="C133" s="4" t="s">
        <v>28</v>
      </c>
      <c r="D133" s="4">
        <v>3560</v>
      </c>
      <c r="E133" s="4">
        <v>4525</v>
      </c>
      <c r="F133" s="4">
        <v>965</v>
      </c>
      <c r="G133" s="4">
        <v>4</v>
      </c>
      <c r="H133" s="4">
        <v>3860</v>
      </c>
      <c r="I133" s="3">
        <f>H133/54979.5</f>
        <v>7.0207986613192191E-2</v>
      </c>
      <c r="J133" s="3">
        <f>J132+I133</f>
        <v>0.70903700470175246</v>
      </c>
      <c r="K133" s="2" t="str">
        <f>IF(J133&lt;=0.8,"A", IF(J133&lt;=0.9,"B","C"))</f>
        <v>A</v>
      </c>
    </row>
    <row r="134" spans="2:11" ht="15" thickBot="1">
      <c r="B134" s="4" t="s">
        <v>27</v>
      </c>
      <c r="C134" s="4" t="s">
        <v>27</v>
      </c>
      <c r="D134" s="4">
        <v>800</v>
      </c>
      <c r="E134" s="4">
        <v>950</v>
      </c>
      <c r="F134" s="4">
        <v>150</v>
      </c>
      <c r="G134" s="4">
        <v>18</v>
      </c>
      <c r="H134" s="4">
        <v>2700</v>
      </c>
      <c r="I134" s="3">
        <f>H134/54979.5</f>
        <v>4.9109213434098166E-2</v>
      </c>
      <c r="J134" s="3">
        <f>J133+I134</f>
        <v>0.75814621813585059</v>
      </c>
      <c r="K134" s="2" t="str">
        <f>IF(J134&lt;=0.8,"A", IF(J134&lt;=0.9,"B","C"))</f>
        <v>A</v>
      </c>
    </row>
    <row r="135" spans="2:11" ht="29.4" customHeight="1" thickBot="1">
      <c r="B135" s="4" t="s">
        <v>26</v>
      </c>
      <c r="C135" s="4" t="s">
        <v>25</v>
      </c>
      <c r="D135" s="4">
        <v>540</v>
      </c>
      <c r="E135" s="4">
        <v>623</v>
      </c>
      <c r="F135" s="4">
        <v>83</v>
      </c>
      <c r="G135" s="4">
        <v>28</v>
      </c>
      <c r="H135" s="4">
        <v>2324</v>
      </c>
      <c r="I135" s="3">
        <f>H135/54979.5</f>
        <v>4.227030074846079E-2</v>
      </c>
      <c r="J135" s="3">
        <f>J134+I135</f>
        <v>0.80041651888431142</v>
      </c>
      <c r="K135" s="2" t="str">
        <f>IF(J135&lt;=0.8,"A", IF(J135&lt;=0.9,"B","C"))</f>
        <v>B</v>
      </c>
    </row>
    <row r="136" spans="2:11" ht="29.4" thickBot="1">
      <c r="B136" s="4" t="s">
        <v>24</v>
      </c>
      <c r="C136" s="4" t="s">
        <v>23</v>
      </c>
      <c r="D136" s="4">
        <v>1410</v>
      </c>
      <c r="E136" s="4">
        <v>1650</v>
      </c>
      <c r="F136" s="4">
        <v>240</v>
      </c>
      <c r="G136" s="4">
        <v>7</v>
      </c>
      <c r="H136" s="4">
        <v>1680</v>
      </c>
      <c r="I136" s="3">
        <f>H136/54979.5</f>
        <v>3.0556843914549967E-2</v>
      </c>
      <c r="J136" s="3">
        <f>J135+I136</f>
        <v>0.83097336279886136</v>
      </c>
      <c r="K136" s="2" t="str">
        <f>IF(J136&lt;=0.8,"A", IF(J136&lt;=0.9,"B","C"))</f>
        <v>B</v>
      </c>
    </row>
    <row r="137" spans="2:11" ht="29.4" thickBot="1">
      <c r="B137" s="4" t="s">
        <v>22</v>
      </c>
      <c r="C137" s="4" t="s">
        <v>21</v>
      </c>
      <c r="D137" s="4">
        <v>2720</v>
      </c>
      <c r="E137" s="4">
        <v>3120</v>
      </c>
      <c r="F137" s="4">
        <v>400</v>
      </c>
      <c r="G137" s="4">
        <v>3</v>
      </c>
      <c r="H137" s="4">
        <v>1360</v>
      </c>
      <c r="I137" s="3">
        <f>H137/54979.5</f>
        <v>2.4736492692730927E-2</v>
      </c>
      <c r="J137" s="3">
        <f>J136+I137</f>
        <v>0.85570985549159229</v>
      </c>
      <c r="K137" s="2" t="str">
        <f>IF(J137&lt;=0.8,"A", IF(J137&lt;=0.9,"B","C"))</f>
        <v>B</v>
      </c>
    </row>
    <row r="138" spans="2:11" ht="29.4" thickBot="1">
      <c r="B138" s="4" t="s">
        <v>20</v>
      </c>
      <c r="C138" s="4" t="s">
        <v>19</v>
      </c>
      <c r="D138" s="4">
        <v>605</v>
      </c>
      <c r="E138" s="4">
        <v>700</v>
      </c>
      <c r="F138" s="4">
        <v>95</v>
      </c>
      <c r="G138" s="4">
        <v>12</v>
      </c>
      <c r="H138" s="4">
        <v>1200</v>
      </c>
      <c r="I138" s="3">
        <f>H138/54979.5</f>
        <v>2.1826317081821405E-2</v>
      </c>
      <c r="J138" s="3">
        <f>J137+I138</f>
        <v>0.87753617257341365</v>
      </c>
      <c r="K138" s="2" t="str">
        <f>IF(J138&lt;=0.8,"A", IF(J138&lt;=0.9,"B","C"))</f>
        <v>B</v>
      </c>
    </row>
    <row r="139" spans="2:11" ht="29.4" thickBot="1">
      <c r="B139" s="4" t="s">
        <v>18</v>
      </c>
      <c r="C139" s="4" t="s">
        <v>17</v>
      </c>
      <c r="D139" s="4">
        <v>757</v>
      </c>
      <c r="E139" s="4">
        <v>850</v>
      </c>
      <c r="F139" s="4">
        <v>93</v>
      </c>
      <c r="G139" s="4">
        <v>12</v>
      </c>
      <c r="H139" s="4">
        <v>1140</v>
      </c>
      <c r="I139" s="3">
        <f>H139/54979.5</f>
        <v>2.0735001227730337E-2</v>
      </c>
      <c r="J139" s="3">
        <f>J138+I139</f>
        <v>0.89827117380114396</v>
      </c>
      <c r="K139" s="2" t="str">
        <f>IF(J139&lt;=0.8,"A", IF(J139&lt;=0.9,"B","C"))</f>
        <v>B</v>
      </c>
    </row>
    <row r="140" spans="2:11" ht="29.4" thickBot="1">
      <c r="B140" s="4" t="s">
        <v>16</v>
      </c>
      <c r="C140" s="4" t="s">
        <v>15</v>
      </c>
      <c r="D140" s="4">
        <v>2480</v>
      </c>
      <c r="E140" s="4">
        <v>2923</v>
      </c>
      <c r="F140" s="4">
        <v>443</v>
      </c>
      <c r="G140" s="4">
        <v>2</v>
      </c>
      <c r="H140" s="4">
        <v>1116</v>
      </c>
      <c r="I140" s="3">
        <f>H140/54979.5</f>
        <v>2.0298474886093907E-2</v>
      </c>
      <c r="J140" s="3">
        <f>J139+I140</f>
        <v>0.91856964868723789</v>
      </c>
      <c r="K140" s="2" t="str">
        <f>IF(J140&lt;=0.8,"A", IF(J140&lt;=0.9,"B","C"))</f>
        <v>C</v>
      </c>
    </row>
    <row r="141" spans="2:11" ht="29.4" thickBot="1">
      <c r="B141" s="4" t="s">
        <v>14</v>
      </c>
      <c r="C141" s="4" t="s">
        <v>13</v>
      </c>
      <c r="D141" s="4">
        <v>890</v>
      </c>
      <c r="E141" s="4">
        <v>985</v>
      </c>
      <c r="F141" s="4">
        <v>95</v>
      </c>
      <c r="G141" s="4">
        <v>9</v>
      </c>
      <c r="H141" s="4">
        <v>886</v>
      </c>
      <c r="I141" s="3">
        <f>H141/54979.5</f>
        <v>1.611509744541147E-2</v>
      </c>
      <c r="J141" s="3">
        <f>J140+I141</f>
        <v>0.9346847461326494</v>
      </c>
      <c r="K141" s="2" t="str">
        <f>IF(J141&lt;=0.8,"A", IF(J141&lt;=0.9,"B","C"))</f>
        <v>C</v>
      </c>
    </row>
    <row r="142" spans="2:11" ht="29.4" thickBot="1">
      <c r="B142" s="4" t="s">
        <v>12</v>
      </c>
      <c r="C142" s="4" t="s">
        <v>11</v>
      </c>
      <c r="D142" s="4">
        <v>625</v>
      </c>
      <c r="E142" s="4">
        <v>710</v>
      </c>
      <c r="F142" s="4">
        <v>85</v>
      </c>
      <c r="G142" s="4">
        <v>10</v>
      </c>
      <c r="H142" s="4">
        <v>855</v>
      </c>
      <c r="I142" s="3">
        <f>H142/54979.5</f>
        <v>1.5551250920797751E-2</v>
      </c>
      <c r="J142" s="3">
        <f>J141+I142</f>
        <v>0.95023599705344719</v>
      </c>
      <c r="K142" s="2" t="str">
        <f>IF(J142&lt;=0.8,"A", IF(J142&lt;=0.9,"B","C"))</f>
        <v>C</v>
      </c>
    </row>
    <row r="143" spans="2:11" ht="29.4" thickBot="1">
      <c r="B143" s="4" t="s">
        <v>10</v>
      </c>
      <c r="C143" s="4" t="s">
        <v>9</v>
      </c>
      <c r="D143" s="4">
        <v>880</v>
      </c>
      <c r="E143" s="4">
        <v>1015</v>
      </c>
      <c r="F143" s="4">
        <v>135</v>
      </c>
      <c r="G143" s="4">
        <v>6</v>
      </c>
      <c r="H143" s="4">
        <v>810</v>
      </c>
      <c r="I143" s="3">
        <f>H143/54979.5</f>
        <v>1.473276403022945E-2</v>
      </c>
      <c r="J143" s="3">
        <f>J142+I143</f>
        <v>0.96496876108367668</v>
      </c>
      <c r="K143" s="2" t="str">
        <f>IF(J143&lt;=0.8,"A", IF(J143&lt;=0.9,"B","C"))</f>
        <v>C</v>
      </c>
    </row>
    <row r="144" spans="2:11" ht="15" thickBot="1">
      <c r="B144" s="4" t="s">
        <v>8</v>
      </c>
      <c r="C144" s="4" t="s">
        <v>8</v>
      </c>
      <c r="D144" s="4">
        <v>651</v>
      </c>
      <c r="E144" s="4">
        <v>725</v>
      </c>
      <c r="F144" s="4">
        <v>74</v>
      </c>
      <c r="G144" s="4">
        <v>10</v>
      </c>
      <c r="H144" s="4">
        <v>740</v>
      </c>
      <c r="I144" s="3">
        <f>H144/54979.5</f>
        <v>1.3459562200456535E-2</v>
      </c>
      <c r="J144" s="3">
        <f>J143+I144</f>
        <v>0.97842832328413321</v>
      </c>
      <c r="K144" s="2" t="str">
        <f>IF(J144&lt;=0.8,"A", IF(J144&lt;=0.9,"B","C"))</f>
        <v>C</v>
      </c>
    </row>
    <row r="145" spans="2:11" ht="29.4" thickBot="1">
      <c r="B145" s="4" t="s">
        <v>7</v>
      </c>
      <c r="C145" s="4" t="s">
        <v>6</v>
      </c>
      <c r="D145" s="4">
        <v>2686</v>
      </c>
      <c r="E145" s="4">
        <v>2950</v>
      </c>
      <c r="F145" s="4">
        <v>264</v>
      </c>
      <c r="G145" s="4">
        <v>2</v>
      </c>
      <c r="H145" s="4">
        <v>528</v>
      </c>
      <c r="I145" s="3">
        <f>H145/54979.5</f>
        <v>9.6035795160014179E-3</v>
      </c>
      <c r="J145" s="3">
        <f>J144+I145</f>
        <v>0.98803190280013464</v>
      </c>
      <c r="K145" s="2" t="str">
        <f>IF(J145&lt;=0.8,"A", IF(J145&lt;=0.9,"B","C"))</f>
        <v>C</v>
      </c>
    </row>
    <row r="146" spans="2:11" ht="29.4" thickBot="1">
      <c r="B146" s="4" t="s">
        <v>5</v>
      </c>
      <c r="C146" s="4" t="s">
        <v>4</v>
      </c>
      <c r="D146" s="4">
        <v>580</v>
      </c>
      <c r="E146" s="4">
        <v>660</v>
      </c>
      <c r="F146" s="4">
        <v>80</v>
      </c>
      <c r="G146" s="4">
        <v>4</v>
      </c>
      <c r="H146" s="4">
        <v>320</v>
      </c>
      <c r="I146" s="3">
        <f>H146/54979.5</f>
        <v>5.820351221819042E-3</v>
      </c>
      <c r="J146" s="3">
        <f>J145+I146</f>
        <v>0.99385225402195365</v>
      </c>
      <c r="K146" s="2" t="str">
        <f>IF(J146&lt;=0.8,"A", IF(J146&lt;=0.9,"B","C"))</f>
        <v>C</v>
      </c>
    </row>
    <row r="147" spans="2:11" ht="29.4" thickBot="1">
      <c r="B147" s="4" t="s">
        <v>3</v>
      </c>
      <c r="C147" s="4" t="s">
        <v>2</v>
      </c>
      <c r="D147" s="4">
        <v>703</v>
      </c>
      <c r="E147" s="4">
        <v>750</v>
      </c>
      <c r="F147" s="4">
        <v>47</v>
      </c>
      <c r="G147" s="4">
        <v>4</v>
      </c>
      <c r="H147" s="4">
        <v>188</v>
      </c>
      <c r="I147" s="3">
        <f>H147/54979.5</f>
        <v>3.419456342818687E-3</v>
      </c>
      <c r="J147" s="3">
        <f>J146+I147</f>
        <v>0.99727171036477236</v>
      </c>
      <c r="K147" s="2" t="str">
        <f>IF(J147&lt;=0.8,"A", IF(J147&lt;=0.9,"B","C"))</f>
        <v>C</v>
      </c>
    </row>
    <row r="148" spans="2:11" ht="29.4" thickBot="1">
      <c r="B148" s="4" t="s">
        <v>1</v>
      </c>
      <c r="C148" s="4" t="s">
        <v>0</v>
      </c>
      <c r="D148" s="4">
        <v>1275</v>
      </c>
      <c r="E148" s="4">
        <v>1425</v>
      </c>
      <c r="F148" s="4">
        <v>150</v>
      </c>
      <c r="G148" s="4">
        <v>1</v>
      </c>
      <c r="H148" s="4">
        <v>150</v>
      </c>
      <c r="I148" s="3">
        <f>H148/54979.5</f>
        <v>2.7282896352276756E-3</v>
      </c>
      <c r="J148" s="3">
        <f>J147+I148</f>
        <v>1</v>
      </c>
      <c r="K148" s="2" t="str">
        <f>IF(J148&lt;=0.8,"A", IF(J148&lt;=0.9,"B","C"))</f>
        <v>C</v>
      </c>
    </row>
    <row r="152" spans="2:11" ht="21">
      <c r="B152" s="1" t="s">
        <v>75</v>
      </c>
      <c r="C152" s="1"/>
      <c r="D152" s="1"/>
      <c r="E152" s="1"/>
      <c r="F152" s="1"/>
      <c r="G152" s="1"/>
    </row>
    <row r="154" spans="2:11" ht="15" thickBot="1"/>
    <row r="155" spans="2:11" ht="15" thickBot="1">
      <c r="B155" s="8" t="s">
        <v>49</v>
      </c>
      <c r="C155" s="7" t="s">
        <v>43</v>
      </c>
    </row>
    <row r="156" spans="2:11" ht="22.8" customHeight="1" thickBot="1">
      <c r="B156" s="4" t="s">
        <v>16</v>
      </c>
      <c r="C156" s="4">
        <v>1116</v>
      </c>
    </row>
    <row r="157" spans="2:11" ht="13.8" customHeight="1" thickBot="1">
      <c r="B157" s="4" t="s">
        <v>1</v>
      </c>
      <c r="C157" s="4">
        <v>150</v>
      </c>
    </row>
    <row r="158" spans="2:11" ht="23.4" customHeight="1" thickBot="1">
      <c r="B158" s="4" t="s">
        <v>29</v>
      </c>
      <c r="C158" s="4">
        <v>3860</v>
      </c>
    </row>
    <row r="159" spans="2:11" ht="15" thickBot="1">
      <c r="B159" s="4" t="s">
        <v>24</v>
      </c>
      <c r="C159" s="4">
        <v>1680</v>
      </c>
    </row>
    <row r="160" spans="2:11" ht="15" thickBot="1">
      <c r="B160" s="4" t="s">
        <v>22</v>
      </c>
      <c r="C160" s="4">
        <v>1360</v>
      </c>
    </row>
    <row r="161" spans="2:3" ht="15" thickBot="1">
      <c r="B161" s="4" t="s">
        <v>27</v>
      </c>
      <c r="C161" s="4">
        <v>2700</v>
      </c>
    </row>
    <row r="162" spans="2:3" ht="15" thickBot="1">
      <c r="B162" s="4" t="s">
        <v>8</v>
      </c>
      <c r="C162" s="4">
        <v>740</v>
      </c>
    </row>
    <row r="163" spans="2:3" ht="15" thickBot="1">
      <c r="B163" s="4" t="s">
        <v>3</v>
      </c>
      <c r="C163" s="4">
        <v>188</v>
      </c>
    </row>
    <row r="164" spans="2:3" ht="15" thickBot="1">
      <c r="B164" s="4" t="s">
        <v>10</v>
      </c>
      <c r="C164" s="4">
        <v>810</v>
      </c>
    </row>
    <row r="165" spans="2:3" ht="15" thickBot="1">
      <c r="B165" s="4" t="s">
        <v>18</v>
      </c>
      <c r="C165" s="4">
        <v>1140</v>
      </c>
    </row>
    <row r="166" spans="2:3" ht="15" thickBot="1">
      <c r="B166" s="4" t="s">
        <v>14</v>
      </c>
      <c r="C166" s="4">
        <v>886</v>
      </c>
    </row>
    <row r="167" spans="2:3" ht="15" thickBot="1">
      <c r="B167" s="4" t="s">
        <v>20</v>
      </c>
      <c r="C167" s="4">
        <v>1200</v>
      </c>
    </row>
    <row r="168" spans="2:3" ht="15" thickBot="1">
      <c r="B168" s="4" t="s">
        <v>5</v>
      </c>
      <c r="C168" s="4">
        <v>320</v>
      </c>
    </row>
    <row r="169" spans="2:3" ht="15" thickBot="1">
      <c r="B169" s="4" t="s">
        <v>12</v>
      </c>
      <c r="C169" s="4">
        <v>855</v>
      </c>
    </row>
    <row r="170" spans="2:3" ht="15" thickBot="1">
      <c r="B170" s="4" t="s">
        <v>26</v>
      </c>
      <c r="C170" s="4">
        <v>2324</v>
      </c>
    </row>
    <row r="171" spans="2:3" ht="15" thickBot="1">
      <c r="B171" s="4" t="s">
        <v>35</v>
      </c>
      <c r="C171" s="4">
        <v>7350</v>
      </c>
    </row>
    <row r="172" spans="2:3" ht="15" thickBot="1">
      <c r="B172" s="4" t="s">
        <v>33</v>
      </c>
      <c r="C172" s="4">
        <v>6916</v>
      </c>
    </row>
    <row r="173" spans="2:3" ht="15" thickBot="1">
      <c r="B173" s="4" t="s">
        <v>31</v>
      </c>
      <c r="C173" s="4">
        <v>4050</v>
      </c>
    </row>
    <row r="174" spans="2:3" ht="15" thickBot="1">
      <c r="B174" s="4" t="s">
        <v>39</v>
      </c>
      <c r="C174" s="4">
        <v>8960</v>
      </c>
    </row>
    <row r="175" spans="2:3" ht="15" thickBot="1">
      <c r="B175" s="4" t="s">
        <v>7</v>
      </c>
      <c r="C175" s="4">
        <v>528</v>
      </c>
    </row>
    <row r="176" spans="2:3" ht="15" thickBot="1">
      <c r="B176" s="4" t="s">
        <v>37</v>
      </c>
      <c r="C176" s="4">
        <v>7846.5</v>
      </c>
    </row>
    <row r="185" ht="14.4" customHeight="1"/>
  </sheetData>
  <sortState xmlns:xlrd2="http://schemas.microsoft.com/office/spreadsheetml/2017/richdata2" ref="B156:C176">
    <sortCondition ref="B155:B176"/>
  </sortState>
  <mergeCells count="5">
    <mergeCell ref="B96:G96"/>
    <mergeCell ref="B123:G123"/>
    <mergeCell ref="C1:M1"/>
    <mergeCell ref="B46:G46"/>
    <mergeCell ref="B152:G152"/>
  </mergeCells>
  <pageMargins left="0.7" right="0.7" top="0.75" bottom="0.75" header="0.3" footer="0.3"/>
  <pageSetup orientation="portrait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hadi</dc:creator>
  <cp:lastModifiedBy>abdul hadi</cp:lastModifiedBy>
  <dcterms:created xsi:type="dcterms:W3CDTF">2025-12-25T06:33:42Z</dcterms:created>
  <dcterms:modified xsi:type="dcterms:W3CDTF">2025-12-25T07:34:06Z</dcterms:modified>
</cp:coreProperties>
</file>