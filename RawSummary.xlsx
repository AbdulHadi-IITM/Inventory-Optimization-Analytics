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478D8F5D-00F5-4DA9-AEF0-6EE7B3C5E936}" xr6:coauthVersionLast="47" xr6:coauthVersionMax="47" xr10:uidLastSave="{00000000-0000-0000-0000-000000000000}"/>
  <bookViews>
    <workbookView xWindow="-108" yWindow="-108" windowWidth="23256" windowHeight="12456" xr2:uid="{AEBEE433-D7D1-4111-9A01-9346052D3B03}"/>
  </bookViews>
  <sheets>
    <sheet name="Raw Summary (2)" sheetId="1" r:id="rId1"/>
  </sheets>
  <externalReferences>
    <externalReference r:id="rId2"/>
    <externalReference r:id="rId3"/>
  </externalReferences>
  <calcPr calcId="191029"/>
  <pivotCaches>
    <pivotCache cacheId="15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8" i="1" l="1"/>
  <c r="G128" i="1"/>
  <c r="G127" i="1"/>
  <c r="I127" i="1" s="1"/>
  <c r="J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18" i="1"/>
  <c r="I118" i="1" s="1"/>
  <c r="I117" i="1"/>
  <c r="G117" i="1"/>
  <c r="I116" i="1"/>
  <c r="G116" i="1"/>
  <c r="G115" i="1"/>
  <c r="I115" i="1" s="1"/>
  <c r="G114" i="1"/>
  <c r="I114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I24" i="1"/>
  <c r="J24" i="1" s="1"/>
  <c r="I23" i="1"/>
  <c r="J23" i="1" s="1"/>
  <c r="I22" i="1"/>
  <c r="J22" i="1" s="1"/>
  <c r="J21" i="1"/>
  <c r="I21" i="1"/>
  <c r="I20" i="1"/>
  <c r="J20" i="1" s="1"/>
  <c r="I19" i="1"/>
  <c r="J19" i="1" s="1"/>
  <c r="I18" i="1"/>
  <c r="J18" i="1" s="1"/>
  <c r="I17" i="1"/>
  <c r="J17" i="1" s="1"/>
  <c r="I16" i="1"/>
  <c r="J16" i="1" s="1"/>
  <c r="J15" i="1"/>
  <c r="I15" i="1"/>
  <c r="I14" i="1"/>
  <c r="J14" i="1" s="1"/>
  <c r="I13" i="1"/>
  <c r="J13" i="1" s="1"/>
  <c r="I12" i="1"/>
  <c r="J12" i="1" s="1"/>
  <c r="I11" i="1"/>
  <c r="J11" i="1" s="1"/>
  <c r="I10" i="1"/>
  <c r="J10" i="1" s="1"/>
  <c r="C10" i="1"/>
  <c r="I9" i="1"/>
  <c r="J9" i="1" s="1"/>
  <c r="C9" i="1"/>
  <c r="I8" i="1"/>
  <c r="J8" i="1" s="1"/>
  <c r="I7" i="1"/>
  <c r="J7" i="1" s="1"/>
  <c r="I6" i="1"/>
  <c r="J6" i="1" s="1"/>
  <c r="I5" i="1"/>
  <c r="J5" i="1" s="1"/>
  <c r="I4" i="1"/>
  <c r="C5" i="1" s="1" a="1"/>
  <c r="C5" i="1" s="1"/>
  <c r="C4" i="1"/>
  <c r="C3" i="1"/>
  <c r="J108" i="1" l="1"/>
  <c r="K108" i="1" s="1"/>
  <c r="J118" i="1"/>
  <c r="J119" i="1"/>
  <c r="J110" i="1"/>
  <c r="J120" i="1"/>
  <c r="J121" i="1"/>
  <c r="J122" i="1"/>
  <c r="J123" i="1"/>
  <c r="J112" i="1"/>
  <c r="J113" i="1"/>
  <c r="J114" i="1"/>
  <c r="J124" i="1"/>
  <c r="J111" i="1"/>
  <c r="J115" i="1"/>
  <c r="J125" i="1"/>
  <c r="J109" i="1"/>
  <c r="J126" i="1"/>
  <c r="J116" i="1"/>
  <c r="J117" i="1"/>
  <c r="J128" i="1"/>
  <c r="J4" i="1"/>
  <c r="L108" i="1" l="1"/>
  <c r="K109" i="1"/>
  <c r="K110" i="1" l="1"/>
  <c r="L109" i="1"/>
  <c r="L110" i="1" l="1"/>
  <c r="K111" i="1"/>
  <c r="K112" i="1" l="1"/>
  <c r="L111" i="1"/>
  <c r="K113" i="1" l="1"/>
  <c r="L112" i="1"/>
  <c r="K114" i="1" l="1"/>
  <c r="L113" i="1"/>
  <c r="L114" i="1" l="1"/>
  <c r="K115" i="1"/>
  <c r="L115" i="1" l="1"/>
  <c r="K116" i="1"/>
  <c r="K117" i="1" l="1"/>
  <c r="L116" i="1"/>
  <c r="L117" i="1" l="1"/>
  <c r="K118" i="1"/>
  <c r="K119" i="1" l="1"/>
  <c r="L118" i="1"/>
  <c r="L119" i="1" l="1"/>
  <c r="K120" i="1"/>
  <c r="L120" i="1" l="1"/>
  <c r="K121" i="1"/>
  <c r="K122" i="1" l="1"/>
  <c r="L121" i="1"/>
  <c r="L122" i="1" l="1"/>
  <c r="K123" i="1"/>
  <c r="K124" i="1" l="1"/>
  <c r="L123" i="1"/>
  <c r="K125" i="1" l="1"/>
  <c r="L124" i="1"/>
  <c r="K126" i="1" l="1"/>
  <c r="L125" i="1"/>
  <c r="L126" i="1" l="1"/>
  <c r="K127" i="1"/>
  <c r="L127" i="1" l="1"/>
  <c r="K128" i="1"/>
  <c r="L1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<sst xmlns="http://schemas.openxmlformats.org/spreadsheetml/2006/main" count="166" uniqueCount="70">
  <si>
    <t>A.R. FURNITURES – SUMMARY DASHBOARD (May–Aug 2024)</t>
  </si>
  <si>
    <t>Total Sales (₹)</t>
  </si>
  <si>
    <t>Item Code</t>
  </si>
  <si>
    <t>Item Description</t>
  </si>
  <si>
    <t>Purchase Rate</t>
  </si>
  <si>
    <t>Sales Rate</t>
  </si>
  <si>
    <t>Profit</t>
  </si>
  <si>
    <t>Profit Margin %</t>
  </si>
  <si>
    <t>Total Purchase (₹)</t>
  </si>
  <si>
    <t>BSF (A)</t>
  </si>
  <si>
    <t>Bed Side Frame (A)</t>
  </si>
  <si>
    <t>Total Profit (₹)</t>
  </si>
  <si>
    <t>BSF (B)</t>
  </si>
  <si>
    <t>Bed Side Frame (B)</t>
  </si>
  <si>
    <t>BSF (C)</t>
  </si>
  <si>
    <t>Bed Side Frame (C)</t>
  </si>
  <si>
    <t>Highest Selling Product</t>
  </si>
  <si>
    <t>Sofa Side Frame (B)</t>
  </si>
  <si>
    <t>BSF (D)</t>
  </si>
  <si>
    <t>Bed Side Frame (D)</t>
  </si>
  <si>
    <t>BSF (F)</t>
  </si>
  <si>
    <t>Bed Side Frame (F)</t>
  </si>
  <si>
    <t>Number of Sales Transactions</t>
  </si>
  <si>
    <t>Chair Frame (A)</t>
  </si>
  <si>
    <t>Number of Purchase Transactions</t>
  </si>
  <si>
    <t>Chair Frame (B)</t>
  </si>
  <si>
    <t>CTF (A)</t>
  </si>
  <si>
    <t>Centre Table Frame (A)</t>
  </si>
  <si>
    <t>CTF (B)</t>
  </si>
  <si>
    <t>Centre Table Frame (B)</t>
  </si>
  <si>
    <t>CTF (C)</t>
  </si>
  <si>
    <t>Centre Table Frame (C)</t>
  </si>
  <si>
    <t>CTSF (A)</t>
  </si>
  <si>
    <t>Centre Table Side Frame (A)</t>
  </si>
  <si>
    <t>DCF (A)</t>
  </si>
  <si>
    <t>Dining Chair Frame (A)</t>
  </si>
  <si>
    <t>DCF (B)</t>
  </si>
  <si>
    <t>Dining Chair Frame (B)</t>
  </si>
  <si>
    <t>DCF (C)</t>
  </si>
  <si>
    <t>Dining Chair Frame (C)</t>
  </si>
  <si>
    <t>DCF (D)</t>
  </si>
  <si>
    <t>Dining Chair Frame (D)</t>
  </si>
  <si>
    <t xml:space="preserve"> </t>
  </si>
  <si>
    <t>SSF (A)</t>
  </si>
  <si>
    <t>Sofa Side Frame (A)</t>
  </si>
  <si>
    <t>SSF (B)</t>
  </si>
  <si>
    <t>SSF (C)</t>
  </si>
  <si>
    <t>Sofa Side Frame (C)</t>
  </si>
  <si>
    <t>SSF (D)</t>
  </si>
  <si>
    <t>Sofa Side Frame (D)</t>
  </si>
  <si>
    <t>SSF (E)</t>
  </si>
  <si>
    <t>Sofa Side Frame (E)</t>
  </si>
  <si>
    <t>Teak Sawn Timber</t>
  </si>
  <si>
    <t>Teak Sawn Timber Different Cut Size</t>
  </si>
  <si>
    <t>Revenue Share by Customer Type (May–Aug 2024</t>
  </si>
  <si>
    <t>Row Labels</t>
  </si>
  <si>
    <t>Sum of Total Amount</t>
  </si>
  <si>
    <t>Carpenter</t>
  </si>
  <si>
    <t>Not Available</t>
  </si>
  <si>
    <t>Retail</t>
  </si>
  <si>
    <t>Grand Total</t>
  </si>
  <si>
    <t xml:space="preserve">Sales Total </t>
  </si>
  <si>
    <t>Sum of Qty</t>
  </si>
  <si>
    <t>Purchase Total</t>
  </si>
  <si>
    <t>ABC Classification</t>
  </si>
  <si>
    <t>Qty Sold</t>
  </si>
  <si>
    <t>Total Profit</t>
  </si>
  <si>
    <t xml:space="preserve">Profit Contribution </t>
  </si>
  <si>
    <t>Cumulative %</t>
  </si>
  <si>
    <t>ABC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</si>
</sst>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[RawSummary.xlsx]Raw Summary (2)!PivotTable29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194074238282919E-2"/>
          <c:y val="0.14002875872005896"/>
          <c:w val="0.91729175351217285"/>
          <c:h val="0.64518907238681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'Raw Summary (2)'!$D$81</c:f>
              <c:strCache>
                <c:ptCount val="1"/>
                <c:pt idx="0">
                  <c:v>Sum of Qty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'Raw Summary (2)'!$C$82:$C$100</c:f>
              <c:strCache>
                <c:ptCount val="18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(D)</c:v>
                </c:pt>
                <c:pt idx="13">
                  <c:v>SSF (A)</c:v>
                </c:pt>
                <c:pt idx="14">
                  <c:v>SSF (B)</c:v>
                </c:pt>
                <c:pt idx="15">
                  <c:v>SSF (C)</c:v>
                </c:pt>
                <c:pt idx="16">
                  <c:v>SSF (D)</c:v>
                </c:pt>
                <c:pt idx="17">
                  <c:v>Teak Sawn Timber</c:v>
                </c:pt>
              </c:strCache>
            </c:strRef>
          </c:cat>
          <c:val>
            <c:numRef>
              <c:f>'Raw Summary (2)'!$D$82:$D$100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16</c:v>
                </c:pt>
                <c:pt idx="10">
                  <c:v>7</c:v>
                </c:pt>
                <c:pt idx="11">
                  <c:v>3</c:v>
                </c:pt>
                <c:pt idx="12">
                  <c:v>12</c:v>
                </c:pt>
                <c:pt idx="13">
                  <c:v>8</c:v>
                </c:pt>
                <c:pt idx="14">
                  <c:v>15</c:v>
                </c:pt>
                <c:pt idx="15">
                  <c:v>4</c:v>
                </c:pt>
                <c:pt idx="16">
                  <c:v>13</c:v>
                </c:pt>
                <c:pt idx="17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3-4B08-A9DA-AC7F344DB4F5}"/>
            </c:ext>
          </c:extLst>
        </c:ser>
        <c:ser>
          <c:idx val="1"/>
          <c:order val="1"/>
          <c:tx>
            <c:strRef>
              <c:f>'Raw Summary (2)'!$E$81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'Raw Summary (2)'!$C$82:$C$100</c:f>
              <c:strCache>
                <c:ptCount val="18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(D)</c:v>
                </c:pt>
                <c:pt idx="13">
                  <c:v>SSF (A)</c:v>
                </c:pt>
                <c:pt idx="14">
                  <c:v>SSF (B)</c:v>
                </c:pt>
                <c:pt idx="15">
                  <c:v>SSF (C)</c:v>
                </c:pt>
                <c:pt idx="16">
                  <c:v>SSF (D)</c:v>
                </c:pt>
                <c:pt idx="17">
                  <c:v>Teak Sawn Timber</c:v>
                </c:pt>
              </c:strCache>
            </c:strRef>
          </c:cat>
          <c:val>
            <c:numRef>
              <c:f>'Raw Summary (2)'!$E$82:$E$100</c:f>
              <c:numCache>
                <c:formatCode>General</c:formatCode>
                <c:ptCount val="18"/>
                <c:pt idx="0">
                  <c:v>9920</c:v>
                </c:pt>
                <c:pt idx="1">
                  <c:v>5100</c:v>
                </c:pt>
                <c:pt idx="2">
                  <c:v>32040</c:v>
                </c:pt>
                <c:pt idx="3">
                  <c:v>8460</c:v>
                </c:pt>
                <c:pt idx="4">
                  <c:v>21760</c:v>
                </c:pt>
                <c:pt idx="5">
                  <c:v>8000</c:v>
                </c:pt>
                <c:pt idx="6">
                  <c:v>3906</c:v>
                </c:pt>
                <c:pt idx="7">
                  <c:v>4921</c:v>
                </c:pt>
                <c:pt idx="8">
                  <c:v>8800</c:v>
                </c:pt>
                <c:pt idx="9">
                  <c:v>12112</c:v>
                </c:pt>
                <c:pt idx="10">
                  <c:v>6230</c:v>
                </c:pt>
                <c:pt idx="11">
                  <c:v>1740</c:v>
                </c:pt>
                <c:pt idx="12">
                  <c:v>6480</c:v>
                </c:pt>
                <c:pt idx="13">
                  <c:v>24600</c:v>
                </c:pt>
                <c:pt idx="14">
                  <c:v>40965</c:v>
                </c:pt>
                <c:pt idx="15">
                  <c:v>14920</c:v>
                </c:pt>
                <c:pt idx="16">
                  <c:v>56290</c:v>
                </c:pt>
                <c:pt idx="17">
                  <c:v>26355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3-4B08-A9DA-AC7F344DB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8518592"/>
        <c:axId val="328517632"/>
      </c:barChart>
      <c:catAx>
        <c:axId val="3285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7632"/>
        <c:crosses val="autoZero"/>
        <c:auto val="1"/>
        <c:lblAlgn val="ctr"/>
        <c:lblOffset val="100"/>
        <c:noMultiLvlLbl val="0"/>
      </c:catAx>
      <c:valAx>
        <c:axId val="3285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[RawSummary.xlsx]Raw Summary (2)!PivotTable4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 (2)'!$D$31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5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67-4C7A-B4A3-2055167CE2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67-4C7A-B4A3-2055167CE2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67-4C7A-B4A3-2055167CE2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 (2)'!$C$32:$C$35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 (2)'!$D$32:$D$35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46632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67-4C7A-B4A3-2055167CE29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ABC Classification</a:t>
            </a:r>
          </a:p>
        </c:rich>
      </c:tx>
      <c:layout>
        <c:manualLayout>
          <c:xMode val="edge"/>
          <c:yMode val="edge"/>
          <c:x val="0.41274030287543018"/>
          <c:y val="3.9731701517938707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 (2)'!$J$107</c:f>
              <c:strCache>
                <c:ptCount val="1"/>
                <c:pt idx="0">
                  <c:v>Profit Contribution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 (2)'!$C$108:$C$128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 (2)'!$J$108:$J$128</c:f>
              <c:numCache>
                <c:formatCode>0.00</c:formatCode>
                <c:ptCount val="21"/>
                <c:pt idx="0">
                  <c:v>0.16449572696646747</c:v>
                </c:pt>
                <c:pt idx="1">
                  <c:v>0.14405309393330212</c:v>
                </c:pt>
                <c:pt idx="2">
                  <c:v>0.13493790102718034</c:v>
                </c:pt>
                <c:pt idx="3">
                  <c:v>0.12697013925224207</c:v>
                </c:pt>
                <c:pt idx="4">
                  <c:v>7.4353537300691219E-2</c:v>
                </c:pt>
                <c:pt idx="5">
                  <c:v>7.0865346661893355E-2</c:v>
                </c:pt>
                <c:pt idx="6">
                  <c:v>4.9569024867127477E-2</c:v>
                </c:pt>
                <c:pt idx="7">
                  <c:v>4.2666079181927503E-2</c:v>
                </c:pt>
                <c:pt idx="8">
                  <c:v>3.0842948806212651E-2</c:v>
                </c:pt>
                <c:pt idx="9">
                  <c:v>2.2030677718723322E-2</c:v>
                </c:pt>
                <c:pt idx="10">
                  <c:v>2.0929143832787156E-2</c:v>
                </c:pt>
                <c:pt idx="11">
                  <c:v>2.048853027841269E-2</c:v>
                </c:pt>
                <c:pt idx="12">
                  <c:v>1.6265983715657385E-2</c:v>
                </c:pt>
                <c:pt idx="13">
                  <c:v>1.5696857874590367E-2</c:v>
                </c:pt>
                <c:pt idx="14">
                  <c:v>1.5605063384095686E-2</c:v>
                </c:pt>
                <c:pt idx="15">
                  <c:v>1.4870707460138242E-2</c:v>
                </c:pt>
                <c:pt idx="16">
                  <c:v>1.3585584593212715E-2</c:v>
                </c:pt>
                <c:pt idx="17">
                  <c:v>9.6934981962382618E-3</c:v>
                </c:pt>
                <c:pt idx="18">
                  <c:v>5.8748473916595528E-3</c:v>
                </c:pt>
                <c:pt idx="19">
                  <c:v>3.4514728425999873E-3</c:v>
                </c:pt>
                <c:pt idx="20">
                  <c:v>2.7538347148404153E-3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B-4A01-9E28-BA6FEBFE4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336991"/>
        <c:axId val="1438489103"/>
      </c:barChart>
      <c:lineChart>
        <c:grouping val="standard"/>
        <c:varyColors val="0"/>
        <c:ser>
          <c:idx val="1"/>
          <c:order val="1"/>
          <c:tx>
            <c:strRef>
              <c:f>'Raw Summary (2)'!$K$107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 (2)'!$C$108:$C$128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 (2)'!$K$108:$K$128</c:f>
              <c:numCache>
                <c:formatCode>0.00</c:formatCode>
                <c:ptCount val="21"/>
                <c:pt idx="0">
                  <c:v>0.16449572696646747</c:v>
                </c:pt>
                <c:pt idx="1">
                  <c:v>0.30854882089976959</c:v>
                </c:pt>
                <c:pt idx="2">
                  <c:v>0.44348672192694993</c:v>
                </c:pt>
                <c:pt idx="3">
                  <c:v>0.57045686117919203</c:v>
                </c:pt>
                <c:pt idx="4">
                  <c:v>0.6448103984798832</c:v>
                </c:pt>
                <c:pt idx="5">
                  <c:v>0.71567574514177656</c:v>
                </c:pt>
                <c:pt idx="6">
                  <c:v>0.76524477000890401</c:v>
                </c:pt>
                <c:pt idx="7">
                  <c:v>0.80791084919083156</c:v>
                </c:pt>
                <c:pt idx="8">
                  <c:v>0.83875379799704419</c:v>
                </c:pt>
                <c:pt idx="9">
                  <c:v>0.86078447571576755</c:v>
                </c:pt>
                <c:pt idx="10">
                  <c:v>0.88171361954855465</c:v>
                </c:pt>
                <c:pt idx="11">
                  <c:v>0.90220214982696734</c:v>
                </c:pt>
                <c:pt idx="12">
                  <c:v>0.91846813354262469</c:v>
                </c:pt>
                <c:pt idx="13">
                  <c:v>0.9341649914172151</c:v>
                </c:pt>
                <c:pt idx="14">
                  <c:v>0.94977005480131083</c:v>
                </c:pt>
                <c:pt idx="15">
                  <c:v>0.96464076226144901</c:v>
                </c:pt>
                <c:pt idx="16">
                  <c:v>0.9782263468546617</c:v>
                </c:pt>
                <c:pt idx="17">
                  <c:v>0.98791984505089991</c:v>
                </c:pt>
                <c:pt idx="18">
                  <c:v>0.99379469244255947</c:v>
                </c:pt>
                <c:pt idx="19">
                  <c:v>0.99724616528515941</c:v>
                </c:pt>
                <c:pt idx="20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B-4A01-9E28-BA6FEBFE4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088303"/>
        <c:axId val="1440090223"/>
      </c:lineChart>
      <c:catAx>
        <c:axId val="109533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89103"/>
        <c:crosses val="autoZero"/>
        <c:auto val="1"/>
        <c:lblAlgn val="ctr"/>
        <c:lblOffset val="100"/>
        <c:noMultiLvlLbl val="0"/>
      </c:catAx>
      <c:valAx>
        <c:axId val="14384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36991"/>
        <c:crosses val="autoZero"/>
        <c:crossBetween val="between"/>
      </c:valAx>
      <c:valAx>
        <c:axId val="144009022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88303"/>
        <c:crosses val="max"/>
        <c:crossBetween val="between"/>
      </c:valAx>
      <c:catAx>
        <c:axId val="1440088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0090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[RawSummary.xlsx]Raw Summary (2)!PivotTable5</c:name>
    <c:fmtId val="15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 (2)'!$D$50</c:f>
              <c:strCache>
                <c:ptCount val="1"/>
                <c:pt idx="0">
                  <c:v>Sum of Qty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'Raw Summary (2)'!$C$51:$C$72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(A)</c:v>
                </c:pt>
                <c:pt idx="12">
                  <c:v>DCF (B)</c:v>
                </c:pt>
                <c:pt idx="13">
                  <c:v>DCF (C)</c:v>
                </c:pt>
                <c:pt idx="14">
                  <c:v>DCF (D)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'Raw Summary (2)'!$D$51:$D$72</c:f>
              <c:numCache>
                <c:formatCode>General</c:formatCode>
                <c:ptCount val="21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18</c:v>
                </c:pt>
                <c:pt idx="6">
                  <c:v>10</c:v>
                </c:pt>
                <c:pt idx="7">
                  <c:v>4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2">
                  <c:v>4</c:v>
                </c:pt>
                <c:pt idx="13">
                  <c:v>10</c:v>
                </c:pt>
                <c:pt idx="14">
                  <c:v>28</c:v>
                </c:pt>
                <c:pt idx="15">
                  <c:v>14</c:v>
                </c:pt>
                <c:pt idx="16">
                  <c:v>14</c:v>
                </c:pt>
                <c:pt idx="17">
                  <c:v>5</c:v>
                </c:pt>
                <c:pt idx="18">
                  <c:v>8</c:v>
                </c:pt>
                <c:pt idx="19">
                  <c:v>2</c:v>
                </c:pt>
                <c:pt idx="20">
                  <c:v>52.31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6-48C1-8D2D-33BE2966CCDC}"/>
            </c:ext>
          </c:extLst>
        </c:ser>
        <c:ser>
          <c:idx val="1"/>
          <c:order val="1"/>
          <c:tx>
            <c:strRef>
              <c:f>'Raw Summary (2)'!$E$50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'Raw Summary (2)'!$C$51:$C$72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(A)</c:v>
                </c:pt>
                <c:pt idx="12">
                  <c:v>DCF (B)</c:v>
                </c:pt>
                <c:pt idx="13">
                  <c:v>DCF (C)</c:v>
                </c:pt>
                <c:pt idx="14">
                  <c:v>DCF (D)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'Raw Summary (2)'!$E$51:$E$72</c:f>
              <c:numCache>
                <c:formatCode>General</c:formatCode>
                <c:ptCount val="21"/>
                <c:pt idx="0">
                  <c:v>5846</c:v>
                </c:pt>
                <c:pt idx="1">
                  <c:v>1425</c:v>
                </c:pt>
                <c:pt idx="2">
                  <c:v>18100</c:v>
                </c:pt>
                <c:pt idx="3">
                  <c:v>11550</c:v>
                </c:pt>
                <c:pt idx="4">
                  <c:v>9360</c:v>
                </c:pt>
                <c:pt idx="5">
                  <c:v>17100</c:v>
                </c:pt>
                <c:pt idx="6">
                  <c:v>7250</c:v>
                </c:pt>
                <c:pt idx="7">
                  <c:v>3000</c:v>
                </c:pt>
                <c:pt idx="8">
                  <c:v>6090</c:v>
                </c:pt>
                <c:pt idx="9">
                  <c:v>10200</c:v>
                </c:pt>
                <c:pt idx="10">
                  <c:v>8865</c:v>
                </c:pt>
                <c:pt idx="11">
                  <c:v>8400</c:v>
                </c:pt>
                <c:pt idx="12">
                  <c:v>2640</c:v>
                </c:pt>
                <c:pt idx="13">
                  <c:v>7100</c:v>
                </c:pt>
                <c:pt idx="14">
                  <c:v>17444</c:v>
                </c:pt>
                <c:pt idx="15">
                  <c:v>50400</c:v>
                </c:pt>
                <c:pt idx="16">
                  <c:v>45150</c:v>
                </c:pt>
                <c:pt idx="17">
                  <c:v>22700</c:v>
                </c:pt>
                <c:pt idx="18">
                  <c:v>43600</c:v>
                </c:pt>
                <c:pt idx="19">
                  <c:v>5900</c:v>
                </c:pt>
                <c:pt idx="20">
                  <c:v>62772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6-48C1-8D2D-33BE2966C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2703935"/>
        <c:axId val="1432704415"/>
      </c:barChart>
      <c:catAx>
        <c:axId val="14327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04415"/>
        <c:crosses val="autoZero"/>
        <c:auto val="1"/>
        <c:lblAlgn val="ctr"/>
        <c:lblOffset val="100"/>
        <c:noMultiLvlLbl val="0"/>
      </c:catAx>
      <c:valAx>
        <c:axId val="14327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0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595512</xdr:colOff>
      <xdr:row>80</xdr:row>
      <xdr:rowOff>179933</xdr:rowOff>
    </xdr:from>
    <xdr:to>
      <xdr:col>13</xdr:col>
      <xdr:colOff>315685</xdr:colOff>
      <xdr:row>100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301A6-644A-453A-95B4-EAC7AC48D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31377</xdr:colOff>
      <xdr:row>27</xdr:row>
      <xdr:rowOff>170330</xdr:rowOff>
    </xdr:from>
    <xdr:to>
      <xdr:col>9</xdr:col>
      <xdr:colOff>71718</xdr:colOff>
      <xdr:row>42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889A1-FABA-4B80-8796-6D9CE97DA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544285</xdr:colOff>
      <xdr:row>106</xdr:row>
      <xdr:rowOff>108859</xdr:rowOff>
    </xdr:from>
    <xdr:to>
      <xdr:col>20</xdr:col>
      <xdr:colOff>163286</xdr:colOff>
      <xdr:row>126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E6BDE1-05AD-4865-B5EB-732C2DB05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870857</xdr:colOff>
      <xdr:row>48</xdr:row>
      <xdr:rowOff>141513</xdr:rowOff>
    </xdr:from>
    <xdr:to>
      <xdr:col>13</xdr:col>
      <xdr:colOff>272143</xdr:colOff>
      <xdr:row>72</xdr:row>
      <xdr:rowOff>108856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BFCF1A-F13D-40F5-AAC3-44BCC498C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C1E427FFB498F9D/Documents/sale_purchase_may_aug1(AutoRecovered).xlsx" TargetMode="External"/><Relationship Id="rId1" Type="http://schemas.openxmlformats.org/officeDocument/2006/relationships/externalLinkPath" Target="https://d.docs.live.net/9C1E427FFB498F9D/Documents/sale_purchase_may_aug1(AutoRecover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%20Hadi\Desktop\PRO\bdm\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e"/>
      <sheetName val="Raw Sale"/>
      <sheetName val="Raw Summary"/>
      <sheetName val="Retail Sale"/>
      <sheetName val="Retail Summary"/>
    </sheetNames>
    <sheetDataSet>
      <sheetData sheetId="0">
        <row r="1">
          <cell r="A1" t="str">
            <v>Date</v>
          </cell>
        </row>
        <row r="2">
          <cell r="A2">
            <v>45751</v>
          </cell>
          <cell r="F2">
            <v>4960</v>
          </cell>
        </row>
        <row r="3">
          <cell r="A3">
            <v>45751</v>
          </cell>
          <cell r="F3">
            <v>1953</v>
          </cell>
        </row>
        <row r="4">
          <cell r="A4">
            <v>45751</v>
          </cell>
          <cell r="F4">
            <v>10924</v>
          </cell>
        </row>
        <row r="5">
          <cell r="A5">
            <v>45764</v>
          </cell>
          <cell r="F5">
            <v>4450</v>
          </cell>
        </row>
        <row r="6">
          <cell r="A6">
            <v>45764</v>
          </cell>
          <cell r="F6">
            <v>1953</v>
          </cell>
        </row>
        <row r="7">
          <cell r="A7">
            <v>45764</v>
          </cell>
          <cell r="F7">
            <v>3785</v>
          </cell>
        </row>
        <row r="8">
          <cell r="A8">
            <v>45777</v>
          </cell>
          <cell r="F8">
            <v>21525</v>
          </cell>
        </row>
        <row r="9">
          <cell r="A9">
            <v>45777</v>
          </cell>
          <cell r="F9">
            <v>2271</v>
          </cell>
        </row>
        <row r="10">
          <cell r="A10">
            <v>45777</v>
          </cell>
          <cell r="F10">
            <v>13177.5</v>
          </cell>
        </row>
        <row r="11">
          <cell r="A11">
            <v>45786</v>
          </cell>
          <cell r="F11">
            <v>5462</v>
          </cell>
        </row>
        <row r="12">
          <cell r="A12">
            <v>45786</v>
          </cell>
          <cell r="F12">
            <v>21650</v>
          </cell>
        </row>
        <row r="13">
          <cell r="A13">
            <v>45786</v>
          </cell>
          <cell r="F13">
            <v>2109</v>
          </cell>
        </row>
        <row r="14">
          <cell r="A14">
            <v>45786</v>
          </cell>
          <cell r="F14">
            <v>2550</v>
          </cell>
        </row>
        <row r="15">
          <cell r="A15">
            <v>45794</v>
          </cell>
          <cell r="F15">
            <v>6056</v>
          </cell>
        </row>
        <row r="16">
          <cell r="A16">
            <v>45794</v>
          </cell>
          <cell r="F16">
            <v>16386</v>
          </cell>
        </row>
        <row r="17">
          <cell r="A17">
            <v>45794</v>
          </cell>
          <cell r="F17">
            <v>2550</v>
          </cell>
        </row>
        <row r="18">
          <cell r="A18">
            <v>45804</v>
          </cell>
          <cell r="F18">
            <v>2812</v>
          </cell>
        </row>
        <row r="19">
          <cell r="A19">
            <v>45804</v>
          </cell>
          <cell r="F19">
            <v>8160</v>
          </cell>
        </row>
        <row r="20">
          <cell r="A20">
            <v>45804</v>
          </cell>
          <cell r="F20">
            <v>21650</v>
          </cell>
        </row>
        <row r="21">
          <cell r="A21">
            <v>45804</v>
          </cell>
          <cell r="F21">
            <v>4000</v>
          </cell>
        </row>
        <row r="22">
          <cell r="A22">
            <v>45818</v>
          </cell>
          <cell r="F22">
            <v>8193</v>
          </cell>
        </row>
        <row r="23">
          <cell r="A23">
            <v>45818</v>
          </cell>
          <cell r="F23">
            <v>8460</v>
          </cell>
        </row>
        <row r="24">
          <cell r="A24">
            <v>45818</v>
          </cell>
          <cell r="F24">
            <v>3780</v>
          </cell>
        </row>
        <row r="25">
          <cell r="A25">
            <v>45818</v>
          </cell>
          <cell r="F25">
            <v>1780</v>
          </cell>
        </row>
        <row r="26">
          <cell r="A26">
            <v>45836</v>
          </cell>
          <cell r="F26">
            <v>4000</v>
          </cell>
        </row>
        <row r="27">
          <cell r="A27">
            <v>45836</v>
          </cell>
          <cell r="F27">
            <v>14920</v>
          </cell>
        </row>
        <row r="28">
          <cell r="A28">
            <v>45836</v>
          </cell>
          <cell r="F28">
            <v>2700</v>
          </cell>
        </row>
        <row r="29">
          <cell r="A29" t="str">
            <v>31-06-2025</v>
          </cell>
          <cell r="F29">
            <v>14240</v>
          </cell>
        </row>
        <row r="30">
          <cell r="A30" t="str">
            <v>31-06-2025</v>
          </cell>
          <cell r="F30">
            <v>12990</v>
          </cell>
        </row>
        <row r="31">
          <cell r="A31" t="str">
            <v>31-06-2025</v>
          </cell>
          <cell r="F31">
            <v>2640</v>
          </cell>
        </row>
        <row r="32">
          <cell r="A32" t="str">
            <v>31-06-2025</v>
          </cell>
          <cell r="F32">
            <v>13600</v>
          </cell>
        </row>
        <row r="33">
          <cell r="A33">
            <v>45869</v>
          </cell>
          <cell r="F33">
            <v>4960</v>
          </cell>
        </row>
        <row r="34">
          <cell r="A34">
            <v>45865</v>
          </cell>
          <cell r="F34">
            <v>1740</v>
          </cell>
        </row>
        <row r="35">
          <cell r="A35">
            <v>45865</v>
          </cell>
          <cell r="F35">
            <v>17800</v>
          </cell>
        </row>
        <row r="36">
          <cell r="A36">
            <v>45865</v>
          </cell>
          <cell r="F36">
            <v>6160</v>
          </cell>
        </row>
        <row r="37">
          <cell r="A37">
            <v>45865</v>
          </cell>
          <cell r="F37">
            <v>3075</v>
          </cell>
        </row>
        <row r="38">
          <cell r="A38">
            <v>45865</v>
          </cell>
          <cell r="F38">
            <v>13177.5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"/>
    </sheetNames>
    <sheetDataSet>
      <sheetData sheetId="0">
        <row r="1">
          <cell r="A1" t="str">
            <v>Date</v>
          </cell>
        </row>
        <row r="2">
          <cell r="A2">
            <v>45749</v>
          </cell>
        </row>
        <row r="3">
          <cell r="A3">
            <v>45750</v>
          </cell>
        </row>
        <row r="4">
          <cell r="A4">
            <v>45750</v>
          </cell>
        </row>
        <row r="5">
          <cell r="A5">
            <v>45752</v>
          </cell>
        </row>
        <row r="6">
          <cell r="A6">
            <v>45755</v>
          </cell>
        </row>
        <row r="7">
          <cell r="A7">
            <v>45757</v>
          </cell>
        </row>
        <row r="8">
          <cell r="A8">
            <v>45765</v>
          </cell>
        </row>
        <row r="9">
          <cell r="A9">
            <v>45767</v>
          </cell>
        </row>
        <row r="10">
          <cell r="A10">
            <v>45770</v>
          </cell>
        </row>
        <row r="11">
          <cell r="A11">
            <v>45770</v>
          </cell>
        </row>
        <row r="12">
          <cell r="A12">
            <v>45772</v>
          </cell>
        </row>
        <row r="13">
          <cell r="A13" t="str">
            <v>31-04-2025</v>
          </cell>
        </row>
        <row r="14">
          <cell r="A14">
            <v>45782</v>
          </cell>
        </row>
        <row r="15">
          <cell r="A15">
            <v>45786</v>
          </cell>
        </row>
        <row r="16">
          <cell r="A16">
            <v>45789</v>
          </cell>
        </row>
        <row r="17">
          <cell r="A17">
            <v>45789</v>
          </cell>
        </row>
        <row r="18">
          <cell r="A18">
            <v>45790</v>
          </cell>
        </row>
        <row r="19">
          <cell r="A19">
            <v>45790</v>
          </cell>
        </row>
        <row r="20">
          <cell r="A20">
            <v>45795</v>
          </cell>
        </row>
        <row r="21">
          <cell r="A21">
            <v>45795</v>
          </cell>
        </row>
        <row r="22">
          <cell r="A22">
            <v>45800</v>
          </cell>
        </row>
        <row r="23">
          <cell r="A23">
            <v>45800</v>
          </cell>
        </row>
        <row r="24">
          <cell r="A24">
            <v>45802</v>
          </cell>
        </row>
        <row r="25">
          <cell r="A25">
            <v>45802</v>
          </cell>
        </row>
        <row r="26">
          <cell r="A26">
            <v>45803</v>
          </cell>
        </row>
        <row r="27">
          <cell r="A27">
            <v>45804</v>
          </cell>
        </row>
        <row r="28">
          <cell r="A28">
            <v>45804</v>
          </cell>
        </row>
        <row r="29">
          <cell r="A29">
            <v>45807</v>
          </cell>
        </row>
        <row r="30">
          <cell r="A30">
            <v>45807</v>
          </cell>
        </row>
        <row r="31">
          <cell r="A31">
            <v>45812</v>
          </cell>
        </row>
        <row r="32">
          <cell r="A32">
            <v>45816</v>
          </cell>
        </row>
        <row r="33">
          <cell r="A33">
            <v>45817</v>
          </cell>
        </row>
        <row r="34">
          <cell r="A34">
            <v>45817</v>
          </cell>
        </row>
        <row r="35">
          <cell r="A35">
            <v>45817</v>
          </cell>
        </row>
        <row r="36">
          <cell r="A36">
            <v>45818</v>
          </cell>
        </row>
        <row r="37">
          <cell r="A37">
            <v>45818</v>
          </cell>
        </row>
        <row r="38">
          <cell r="A38">
            <v>45819</v>
          </cell>
        </row>
        <row r="39">
          <cell r="A39">
            <v>45819</v>
          </cell>
        </row>
        <row r="40">
          <cell r="A40">
            <v>45820</v>
          </cell>
        </row>
        <row r="41">
          <cell r="A41">
            <v>45823</v>
          </cell>
        </row>
        <row r="42">
          <cell r="A42">
            <v>45825</v>
          </cell>
        </row>
        <row r="43">
          <cell r="A43">
            <v>45825</v>
          </cell>
        </row>
        <row r="44">
          <cell r="A44">
            <v>45827</v>
          </cell>
        </row>
        <row r="45">
          <cell r="A45">
            <v>45830</v>
          </cell>
        </row>
        <row r="46">
          <cell r="A46">
            <v>45831</v>
          </cell>
        </row>
        <row r="47">
          <cell r="A47">
            <v>45835</v>
          </cell>
        </row>
        <row r="48">
          <cell r="A48">
            <v>45835</v>
          </cell>
        </row>
        <row r="49">
          <cell r="A49" t="str">
            <v>31-06-2025</v>
          </cell>
        </row>
        <row r="50">
          <cell r="A50">
            <v>45841</v>
          </cell>
        </row>
        <row r="51">
          <cell r="A51">
            <v>45843</v>
          </cell>
        </row>
        <row r="52">
          <cell r="A52">
            <v>45845</v>
          </cell>
        </row>
        <row r="53">
          <cell r="A53">
            <v>45845</v>
          </cell>
        </row>
        <row r="54">
          <cell r="A54">
            <v>45846</v>
          </cell>
        </row>
        <row r="55">
          <cell r="A55">
            <v>45847</v>
          </cell>
        </row>
        <row r="56">
          <cell r="A56">
            <v>45849</v>
          </cell>
        </row>
        <row r="57">
          <cell r="A57">
            <v>45850</v>
          </cell>
        </row>
        <row r="58">
          <cell r="A58">
            <v>45850</v>
          </cell>
        </row>
        <row r="59">
          <cell r="A59">
            <v>45855</v>
          </cell>
        </row>
        <row r="60">
          <cell r="A60">
            <v>45855</v>
          </cell>
        </row>
        <row r="61">
          <cell r="A61">
            <v>45858</v>
          </cell>
        </row>
        <row r="62">
          <cell r="A62">
            <v>45858</v>
          </cell>
        </row>
        <row r="63">
          <cell r="A63">
            <v>45863</v>
          </cell>
        </row>
        <row r="64">
          <cell r="A64">
            <v>45867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C1E427FFB498F9D/Documents/sale_purchase_may_aug1(AutoRecovered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C1E427FFB498F9D/Documents/sale_purchase_may_aug1(AutoRecovered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67.999512847222" createdVersion="8" refreshedVersion="8" minRefreshableVersion="3" recordCount="37" xr:uid="{9C785A8D-644B-463E-A225-DBB9126DE6EA}">
  <cacheSource type="worksheet">
    <worksheetSource ref="A1:F38" sheet="Purchase" r:id="rId2"/>
  </cacheSource>
  <cacheFields count="6">
    <cacheField name="Date" numFmtId="14">
      <sharedItems containsDate="1" containsMixedTypes="1" minDate="2025-04-04T00:00:00" maxDate="2025-08-01T00:00:00"/>
    </cacheField>
    <cacheField name="Item Code" numFmtId="0">
      <sharedItems containsBlank="1" count="22">
        <s v="BSF (A)"/>
        <s v="Chair Frame (B)"/>
        <s v="SSF (B)"/>
        <s v="CTSF (A)"/>
        <s v="CTF (C)"/>
        <s v="SSF (A)"/>
        <s v="Teak Sawn Timber"/>
        <s v="SSF (D)"/>
        <s v="CTF (A)"/>
        <s v="BSF (B)"/>
        <s v="BSF (F)"/>
        <s v="Chair Frame (A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 count="9">
        <n v="2"/>
        <n v="3"/>
        <n v="4"/>
        <n v="5"/>
        <n v="7"/>
        <n v="12.55"/>
        <n v="8"/>
        <n v="6"/>
        <n v="1"/>
      </sharedItems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40" maxValue="21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67.955494444446" createdVersion="8" refreshedVersion="8" minRefreshableVersion="3" recordCount="68" xr:uid="{2247A619-AC2C-4506-AF6E-2EB608B272D6}">
  <cacheSource type="worksheet">
    <worksheetSource name="Sale" r:id="rId2"/>
  </cacheSource>
  <cacheFields count="7">
    <cacheField name="Date" numFmtId="14">
      <sharedItems containsDate="1" containsMixedTypes="1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 count="8">
        <n v="6"/>
        <n v="4"/>
        <n v="1"/>
        <n v="2"/>
        <n v="3"/>
        <n v="12.55"/>
        <n v="7.33"/>
        <n v="5"/>
      </sharedItems>
    </cacheField>
    <cacheField name="Rate" numFmtId="0">
      <sharedItems containsSemiMixedTypes="0" containsString="0" containsNumber="1" containsInteger="1" minValue="623" maxValue="5450" count="21">
        <n v="985"/>
        <n v="660"/>
        <n v="1425"/>
        <n v="2923"/>
        <n v="4540"/>
        <n v="700"/>
        <n v="710"/>
        <n v="5450"/>
        <n v="2950"/>
        <n v="623"/>
        <n v="850"/>
        <n v="3225"/>
        <n v="1650"/>
        <n v="750"/>
        <n v="1200"/>
        <n v="725"/>
        <n v="3600"/>
        <n v="950"/>
        <n v="3120"/>
        <n v="1015"/>
        <n v="4525"/>
      </sharedItems>
    </cacheField>
    <cacheField name="Total Amount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5-04-04T00:00:00"/>
    <x v="0"/>
    <s v="Bed Side Frame (A)"/>
    <x v="0"/>
    <n v="2480"/>
    <n v="4960"/>
  </r>
  <r>
    <d v="2025-04-04T00:00:00"/>
    <x v="1"/>
    <s v="Chair Frame (B)"/>
    <x v="1"/>
    <n v="651"/>
    <n v="1953"/>
  </r>
  <r>
    <d v="2025-04-04T00:00:00"/>
    <x v="2"/>
    <s v="Sofa Side Frame (B)"/>
    <x v="2"/>
    <n v="2731"/>
    <n v="10924"/>
  </r>
  <r>
    <d v="2025-04-17T00:00:00"/>
    <x v="3"/>
    <s v="Centre Table Side Frame (A)"/>
    <x v="3"/>
    <n v="890"/>
    <n v="4450"/>
  </r>
  <r>
    <d v="2025-04-17T00:00:00"/>
    <x v="1"/>
    <s v="Chair Frame (B)"/>
    <x v="1"/>
    <n v="651"/>
    <n v="1953"/>
  </r>
  <r>
    <d v="2025-04-17T00:00:00"/>
    <x v="4"/>
    <s v="Centre Table Frame (C)"/>
    <x v="3"/>
    <n v="757"/>
    <n v="3785"/>
  </r>
  <r>
    <d v="2025-04-30T00:00:00"/>
    <x v="5"/>
    <s v="Sofa Side Frame (A)"/>
    <x v="4"/>
    <n v="3075"/>
    <n v="21525"/>
  </r>
  <r>
    <d v="2025-04-30T00:00:00"/>
    <x v="4"/>
    <s v="Centre Table Frame (C)"/>
    <x v="1"/>
    <n v="757"/>
    <n v="2271"/>
  </r>
  <r>
    <d v="2025-04-30T00:00:00"/>
    <x v="6"/>
    <s v="Teak Sawn Timber Different Cut Size"/>
    <x v="5"/>
    <n v="1050"/>
    <n v="13177.5"/>
  </r>
  <r>
    <d v="2025-05-09T00:00:00"/>
    <x v="2"/>
    <s v="Sofa Side Frame (B)"/>
    <x v="0"/>
    <n v="2731"/>
    <n v="5462"/>
  </r>
  <r>
    <d v="2025-05-09T00:00:00"/>
    <x v="7"/>
    <s v="Sofa Side Frame (D)"/>
    <x v="3"/>
    <n v="4330"/>
    <n v="21650"/>
  </r>
  <r>
    <d v="2025-05-09T00:00:00"/>
    <x v="8"/>
    <s v="Centre Table Frame (A)"/>
    <x v="1"/>
    <n v="703"/>
    <n v="2109"/>
  </r>
  <r>
    <d v="2025-05-09T00:00:00"/>
    <x v="9"/>
    <s v="Bed Side Frame (B)"/>
    <x v="0"/>
    <n v="1275"/>
    <n v="2550"/>
  </r>
  <r>
    <d v="2025-05-17T00:00:00"/>
    <x v="4"/>
    <s v="Centre Table Frame (C)"/>
    <x v="6"/>
    <n v="757"/>
    <n v="6056"/>
  </r>
  <r>
    <d v="2025-05-17T00:00:00"/>
    <x v="2"/>
    <s v="Sofa Side Frame (B)"/>
    <x v="7"/>
    <n v="2731"/>
    <n v="16386"/>
  </r>
  <r>
    <d v="2025-05-17T00:00:00"/>
    <x v="9"/>
    <s v="Bed Side Frame (B)"/>
    <x v="0"/>
    <n v="1275"/>
    <n v="2550"/>
  </r>
  <r>
    <d v="2025-05-27T00:00:00"/>
    <x v="8"/>
    <s v="Centre Table Frame (A)"/>
    <x v="2"/>
    <n v="703"/>
    <n v="2812"/>
  </r>
  <r>
    <d v="2025-05-27T00:00:00"/>
    <x v="10"/>
    <s v="Bed Side Frame (F)"/>
    <x v="1"/>
    <n v="2720"/>
    <n v="8160"/>
  </r>
  <r>
    <d v="2025-05-27T00:00:00"/>
    <x v="7"/>
    <s v="Sofa Side Frame (D)"/>
    <x v="3"/>
    <n v="4330"/>
    <n v="21650"/>
  </r>
  <r>
    <d v="2025-05-27T00:00:00"/>
    <x v="11"/>
    <s v="Chair Frame (A)"/>
    <x v="3"/>
    <n v="800"/>
    <n v="4000"/>
  </r>
  <r>
    <d v="2025-06-10T00:00:00"/>
    <x v="2"/>
    <s v="Sofa Side Frame (B)"/>
    <x v="1"/>
    <n v="2731"/>
    <n v="8193"/>
  </r>
  <r>
    <d v="2025-06-10T00:00:00"/>
    <x v="12"/>
    <s v="Bed Side Frame (D)"/>
    <x v="7"/>
    <n v="1410"/>
    <n v="8460"/>
  </r>
  <r>
    <d v="2025-06-10T00:00:00"/>
    <x v="13"/>
    <s v="Dining Chair Frame (D)"/>
    <x v="4"/>
    <n v="540"/>
    <n v="3780"/>
  </r>
  <r>
    <d v="2025-06-10T00:00:00"/>
    <x v="3"/>
    <s v="Centre Table Side Frame (A)"/>
    <x v="0"/>
    <n v="890"/>
    <n v="1780"/>
  </r>
  <r>
    <d v="2025-06-28T00:00:00"/>
    <x v="11"/>
    <s v="Chair Frame (A)"/>
    <x v="3"/>
    <n v="800"/>
    <n v="4000"/>
  </r>
  <r>
    <d v="2025-06-28T00:00:00"/>
    <x v="14"/>
    <s v="Sofa Side Frame (C)"/>
    <x v="2"/>
    <n v="3730"/>
    <n v="14920"/>
  </r>
  <r>
    <d v="2025-06-28T00:00:00"/>
    <x v="13"/>
    <s v="Dining Chair Frame (D)"/>
    <x v="3"/>
    <n v="540"/>
    <n v="2700"/>
  </r>
  <r>
    <s v="31-06-2025"/>
    <x v="15"/>
    <s v="Bed Side Frame (C)"/>
    <x v="2"/>
    <n v="3560"/>
    <n v="14240"/>
  </r>
  <r>
    <s v="31-06-2025"/>
    <x v="7"/>
    <s v="Sofa Side Frame (D)"/>
    <x v="1"/>
    <n v="4330"/>
    <n v="12990"/>
  </r>
  <r>
    <s v="31-06-2025"/>
    <x v="16"/>
    <s v="Centre Table Frame (B)"/>
    <x v="1"/>
    <n v="880"/>
    <n v="2640"/>
  </r>
  <r>
    <s v="31-06-2025"/>
    <x v="10"/>
    <s v="Bed Side Frame (F)"/>
    <x v="3"/>
    <n v="2720"/>
    <n v="13600"/>
  </r>
  <r>
    <d v="2025-07-31T00:00:00"/>
    <x v="0"/>
    <s v="Bed Side Frame (A)"/>
    <x v="0"/>
    <n v="2480"/>
    <n v="4960"/>
  </r>
  <r>
    <d v="2025-07-27T00:00:00"/>
    <x v="17"/>
    <s v="Dining Chair Frame (B)"/>
    <x v="1"/>
    <n v="580"/>
    <n v="1740"/>
  </r>
  <r>
    <d v="2025-07-27T00:00:00"/>
    <x v="15"/>
    <s v="Bed Side Frame (C)"/>
    <x v="3"/>
    <n v="3560"/>
    <n v="17800"/>
  </r>
  <r>
    <d v="2025-07-27T00:00:00"/>
    <x v="16"/>
    <s v="Centre Table Frame (B)"/>
    <x v="4"/>
    <n v="880"/>
    <n v="6160"/>
  </r>
  <r>
    <d v="2025-07-27T00:00:00"/>
    <x v="5"/>
    <s v="Sofa Side Frame (A)"/>
    <x v="8"/>
    <n v="3075"/>
    <n v="3075"/>
  </r>
  <r>
    <d v="2025-07-27T00:00:00"/>
    <x v="6"/>
    <s v="Teak Sawn Timber Different Cut Size"/>
    <x v="5"/>
    <n v="1050"/>
    <n v="13177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5-04-02T00:00:00"/>
    <x v="0"/>
    <s v="Centre Table Side Frame (A)"/>
    <x v="0"/>
    <x v="0"/>
    <n v="5910"/>
    <x v="0"/>
  </r>
  <r>
    <d v="2025-04-03T00:00:00"/>
    <x v="1"/>
    <s v="Dining Chair Frame (B)"/>
    <x v="1"/>
    <x v="1"/>
    <n v="2640"/>
    <x v="1"/>
  </r>
  <r>
    <d v="2025-04-03T00:00:00"/>
    <x v="2"/>
    <s v="Bed Side Frame (B)"/>
    <x v="2"/>
    <x v="2"/>
    <n v="1425"/>
    <x v="1"/>
  </r>
  <r>
    <d v="2025-04-05T00:00:00"/>
    <x v="3"/>
    <s v="Bed Side Frame (A)"/>
    <x v="2"/>
    <x v="3"/>
    <n v="2923"/>
    <x v="1"/>
  </r>
  <r>
    <d v="2025-04-08T00:00:00"/>
    <x v="4"/>
    <s v="Sofa Side Frame (C)"/>
    <x v="3"/>
    <x v="4"/>
    <n v="9080"/>
    <x v="1"/>
  </r>
  <r>
    <d v="2025-04-10T00:00:00"/>
    <x v="5"/>
    <s v="Dining Chair Frame (A)"/>
    <x v="1"/>
    <x v="5"/>
    <n v="2800"/>
    <x v="2"/>
  </r>
  <r>
    <d v="2025-04-18T00:00:00"/>
    <x v="6"/>
    <s v="Dining Chair Frame (C)"/>
    <x v="1"/>
    <x v="6"/>
    <n v="2840"/>
    <x v="1"/>
  </r>
  <r>
    <d v="2025-04-20T00:00:00"/>
    <x v="7"/>
    <s v="Sofa Side Frame (D)"/>
    <x v="4"/>
    <x v="7"/>
    <n v="16350"/>
    <x v="1"/>
  </r>
  <r>
    <d v="2025-04-23T00:00:00"/>
    <x v="8"/>
    <s v="Sofa Side Frame (E)"/>
    <x v="2"/>
    <x v="8"/>
    <n v="2950"/>
    <x v="0"/>
  </r>
  <r>
    <d v="2025-04-23T00:00:00"/>
    <x v="9"/>
    <s v="Dining Chair Frame (D)"/>
    <x v="0"/>
    <x v="9"/>
    <n v="3738"/>
    <x v="0"/>
  </r>
  <r>
    <d v="2025-04-25T00:00:00"/>
    <x v="10"/>
    <s v="Centre Table Frame (C)"/>
    <x v="3"/>
    <x v="10"/>
    <n v="1700"/>
    <x v="0"/>
  </r>
  <r>
    <s v="31-04-2025"/>
    <x v="11"/>
    <s v="Sofa Side Frame (B)"/>
    <x v="2"/>
    <x v="11"/>
    <n v="3225"/>
    <x v="2"/>
  </r>
  <r>
    <d v="2025-05-05T00:00:00"/>
    <x v="5"/>
    <s v="Dining Chair Frame (A)"/>
    <x v="1"/>
    <x v="5"/>
    <n v="2800"/>
    <x v="1"/>
  </r>
  <r>
    <d v="2025-05-09T00:00:00"/>
    <x v="9"/>
    <s v="Dining Chair Frame (D)"/>
    <x v="0"/>
    <x v="9"/>
    <n v="3738"/>
    <x v="1"/>
  </r>
  <r>
    <d v="2025-05-12T00:00:00"/>
    <x v="12"/>
    <s v="Bed Side Frame (D)"/>
    <x v="2"/>
    <x v="12"/>
    <n v="1650"/>
    <x v="1"/>
  </r>
  <r>
    <d v="2025-05-12T00:00:00"/>
    <x v="9"/>
    <s v="Dining Chair Frame (D)"/>
    <x v="1"/>
    <x v="9"/>
    <n v="2492"/>
    <x v="1"/>
  </r>
  <r>
    <d v="2025-05-13T00:00:00"/>
    <x v="13"/>
    <s v="Centre Table Frame (A)"/>
    <x v="4"/>
    <x v="13"/>
    <n v="2250"/>
    <x v="2"/>
  </r>
  <r>
    <d v="2025-05-13T00:00:00"/>
    <x v="14"/>
    <s v="Teak Sawn Timber Different Cut Size"/>
    <x v="5"/>
    <x v="14"/>
    <n v="15060"/>
    <x v="1"/>
  </r>
  <r>
    <d v="2025-05-18T00:00:00"/>
    <x v="10"/>
    <s v="Centre Table Frame (C)"/>
    <x v="1"/>
    <x v="10"/>
    <n v="3400"/>
    <x v="1"/>
  </r>
  <r>
    <d v="2025-05-18T00:00:00"/>
    <x v="5"/>
    <s v="Dining Chair Frame (A)"/>
    <x v="1"/>
    <x v="5"/>
    <n v="2800"/>
    <x v="2"/>
  </r>
  <r>
    <d v="2025-05-23T00:00:00"/>
    <x v="15"/>
    <s v="Chair Frame (B)"/>
    <x v="0"/>
    <x v="15"/>
    <n v="4350"/>
    <x v="1"/>
  </r>
  <r>
    <d v="2025-05-23T00:00:00"/>
    <x v="16"/>
    <s v="Sofa Side Frame (A)"/>
    <x v="4"/>
    <x v="16"/>
    <n v="10800"/>
    <x v="1"/>
  </r>
  <r>
    <d v="2025-05-25T00:00:00"/>
    <x v="15"/>
    <s v="Chair Frame (B)"/>
    <x v="1"/>
    <x v="15"/>
    <n v="2900"/>
    <x v="0"/>
  </r>
  <r>
    <d v="2025-05-25T00:00:00"/>
    <x v="11"/>
    <s v="Sofa Side Frame (B)"/>
    <x v="4"/>
    <x v="11"/>
    <n v="9675"/>
    <x v="1"/>
  </r>
  <r>
    <d v="2025-05-26T00:00:00"/>
    <x v="9"/>
    <s v="Dining Chair Frame (D)"/>
    <x v="1"/>
    <x v="9"/>
    <n v="2492"/>
    <x v="2"/>
  </r>
  <r>
    <d v="2025-05-27T00:00:00"/>
    <x v="11"/>
    <s v="Sofa Side Frame (B)"/>
    <x v="2"/>
    <x v="11"/>
    <n v="3225"/>
    <x v="2"/>
  </r>
  <r>
    <d v="2025-05-27T00:00:00"/>
    <x v="8"/>
    <s v="Sofa Side Frame (E)"/>
    <x v="2"/>
    <x v="8"/>
    <n v="2950"/>
    <x v="2"/>
  </r>
  <r>
    <d v="2025-05-30T00:00:00"/>
    <x v="14"/>
    <s v="Teak Sawn Timber Different Cut Size"/>
    <x v="6"/>
    <x v="14"/>
    <n v="8796"/>
    <x v="1"/>
  </r>
  <r>
    <d v="2025-05-30T00:00:00"/>
    <x v="16"/>
    <s v="Sofa Side Frame (A)"/>
    <x v="3"/>
    <x v="16"/>
    <n v="7200"/>
    <x v="1"/>
  </r>
  <r>
    <d v="2025-06-04T00:00:00"/>
    <x v="11"/>
    <s v="Sofa Side Frame (B)"/>
    <x v="4"/>
    <x v="11"/>
    <n v="9675"/>
    <x v="1"/>
  </r>
  <r>
    <d v="2025-06-08T00:00:00"/>
    <x v="3"/>
    <s v="Bed Side Frame (A)"/>
    <x v="2"/>
    <x v="3"/>
    <n v="2923"/>
    <x v="1"/>
  </r>
  <r>
    <d v="2025-06-09T00:00:00"/>
    <x v="14"/>
    <s v="Teak Sawn Timber Different Cut Size"/>
    <x v="6"/>
    <x v="14"/>
    <n v="8796"/>
    <x v="1"/>
  </r>
  <r>
    <d v="2025-06-09T00:00:00"/>
    <x v="16"/>
    <s v="Sofa Side Frame (A)"/>
    <x v="3"/>
    <x v="16"/>
    <n v="7200"/>
    <x v="1"/>
  </r>
  <r>
    <d v="2025-06-09T00:00:00"/>
    <x v="12"/>
    <s v="Bed Side Frame (D)"/>
    <x v="3"/>
    <x v="12"/>
    <n v="3300"/>
    <x v="1"/>
  </r>
  <r>
    <d v="2025-06-09T00:00:00"/>
    <x v="10"/>
    <s v="Centre Table Frame (C)"/>
    <x v="3"/>
    <x v="10"/>
    <n v="1700"/>
    <x v="2"/>
  </r>
  <r>
    <d v="2025-06-09T00:00:00"/>
    <x v="17"/>
    <s v="Chair Frame (A)"/>
    <x v="0"/>
    <x v="17"/>
    <n v="5700"/>
    <x v="1"/>
  </r>
  <r>
    <d v="2025-06-10T00:00:00"/>
    <x v="12"/>
    <s v="Bed Side Frame (D)"/>
    <x v="2"/>
    <x v="12"/>
    <n v="1650"/>
    <x v="1"/>
  </r>
  <r>
    <d v="2025-06-10T00:00:00"/>
    <x v="18"/>
    <s v="Bed Side Frame (F)"/>
    <x v="2"/>
    <x v="18"/>
    <n v="3120"/>
    <x v="1"/>
  </r>
  <r>
    <d v="2025-06-11T00:00:00"/>
    <x v="7"/>
    <s v="Sofa Side Frame (D)"/>
    <x v="3"/>
    <x v="7"/>
    <n v="10900"/>
    <x v="0"/>
  </r>
  <r>
    <d v="2025-06-11T00:00:00"/>
    <x v="11"/>
    <s v="Sofa Side Frame (B)"/>
    <x v="4"/>
    <x v="11"/>
    <n v="9675"/>
    <x v="1"/>
  </r>
  <r>
    <d v="2025-06-12T00:00:00"/>
    <x v="12"/>
    <s v="Bed Side Frame (D)"/>
    <x v="3"/>
    <x v="12"/>
    <n v="3300"/>
    <x v="1"/>
  </r>
  <r>
    <d v="2025-06-15T00:00:00"/>
    <x v="17"/>
    <s v="Chair Frame (A)"/>
    <x v="0"/>
    <x v="17"/>
    <n v="5700"/>
    <x v="1"/>
  </r>
  <r>
    <d v="2025-06-16T00:00:00"/>
    <x v="16"/>
    <s v="Sofa Side Frame (A)"/>
    <x v="2"/>
    <x v="16"/>
    <n v="3600"/>
    <x v="1"/>
  </r>
  <r>
    <d v="2025-06-16T00:00:00"/>
    <x v="14"/>
    <s v="Teak Sawn Timber Different Cut Size"/>
    <x v="5"/>
    <x v="14"/>
    <n v="15060"/>
    <x v="1"/>
  </r>
  <r>
    <d v="2025-06-16T00:00:00"/>
    <x v="19"/>
    <s v="Centre Table Frame (B)"/>
    <x v="1"/>
    <x v="19"/>
    <n v="4060"/>
    <x v="2"/>
  </r>
  <r>
    <d v="2025-06-16T00:00:00"/>
    <x v="12"/>
    <s v="Bed Side Frame (D)"/>
    <x v="2"/>
    <x v="12"/>
    <n v="1650"/>
    <x v="2"/>
  </r>
  <r>
    <d v="2025-06-20T00:00:00"/>
    <x v="14"/>
    <s v="Teak Sawn Timber Different Cut Size"/>
    <x v="5"/>
    <x v="14"/>
    <n v="15060"/>
    <x v="1"/>
  </r>
  <r>
    <d v="2025-06-20T00:00:00"/>
    <x v="13"/>
    <s v="Centre Table Frame (A)"/>
    <x v="2"/>
    <x v="13"/>
    <n v="750"/>
    <x v="1"/>
  </r>
  <r>
    <d v="2025-06-20T00:00:00"/>
    <x v="16"/>
    <s v="Sofa Side Frame (A)"/>
    <x v="2"/>
    <x v="16"/>
    <n v="3600"/>
    <x v="1"/>
  </r>
  <r>
    <d v="2025-06-20T00:00:00"/>
    <x v="18"/>
    <s v="Bed Side Frame (F)"/>
    <x v="2"/>
    <x v="18"/>
    <n v="3120"/>
    <x v="2"/>
  </r>
  <r>
    <d v="2025-06-27T00:00:00"/>
    <x v="11"/>
    <s v="Sofa Side Frame (B)"/>
    <x v="4"/>
    <x v="11"/>
    <n v="9675"/>
    <x v="1"/>
  </r>
  <r>
    <d v="2025-06-27T00:00:00"/>
    <x v="10"/>
    <s v="Centre Table Frame (C)"/>
    <x v="4"/>
    <x v="10"/>
    <n v="2550"/>
    <x v="1"/>
  </r>
  <r>
    <s v="31-06-2025"/>
    <x v="7"/>
    <s v="Sofa Side Frame (D)"/>
    <x v="2"/>
    <x v="7"/>
    <n v="5450"/>
    <x v="1"/>
  </r>
  <r>
    <d v="2025-07-03T00:00:00"/>
    <x v="10"/>
    <s v="Centre Table Frame (C)"/>
    <x v="2"/>
    <x v="10"/>
    <n v="850"/>
    <x v="1"/>
  </r>
  <r>
    <d v="2025-07-05T00:00:00"/>
    <x v="17"/>
    <s v="Chair Frame (A)"/>
    <x v="0"/>
    <x v="17"/>
    <n v="5700"/>
    <x v="2"/>
  </r>
  <r>
    <d v="2025-07-07T00:00:00"/>
    <x v="16"/>
    <s v="Sofa Side Frame (A)"/>
    <x v="7"/>
    <x v="16"/>
    <n v="18000"/>
    <x v="1"/>
  </r>
  <r>
    <d v="2025-07-07T00:00:00"/>
    <x v="0"/>
    <s v="Centre Table Side Frame (A)"/>
    <x v="3"/>
    <x v="0"/>
    <n v="1970"/>
    <x v="1"/>
  </r>
  <r>
    <d v="2025-07-08T00:00:00"/>
    <x v="4"/>
    <s v="Sofa Side Frame (C)"/>
    <x v="3"/>
    <x v="4"/>
    <n v="9080"/>
    <x v="0"/>
  </r>
  <r>
    <d v="2025-07-09T00:00:00"/>
    <x v="7"/>
    <s v="Sofa Side Frame (D)"/>
    <x v="3"/>
    <x v="7"/>
    <n v="10900"/>
    <x v="1"/>
  </r>
  <r>
    <d v="2025-07-11T00:00:00"/>
    <x v="0"/>
    <s v="Centre Table Side Frame (A)"/>
    <x v="2"/>
    <x v="0"/>
    <n v="985"/>
    <x v="2"/>
  </r>
  <r>
    <d v="2025-07-12T00:00:00"/>
    <x v="4"/>
    <s v="Sofa Side Frame (C)"/>
    <x v="2"/>
    <x v="4"/>
    <n v="4540"/>
    <x v="1"/>
  </r>
  <r>
    <d v="2025-07-12T00:00:00"/>
    <x v="20"/>
    <s v="Bed Side Frame (C)"/>
    <x v="2"/>
    <x v="20"/>
    <n v="4525"/>
    <x v="2"/>
  </r>
  <r>
    <d v="2025-07-17T00:00:00"/>
    <x v="20"/>
    <s v="Bed Side Frame (C)"/>
    <x v="4"/>
    <x v="20"/>
    <n v="13575"/>
    <x v="1"/>
  </r>
  <r>
    <d v="2025-07-17T00:00:00"/>
    <x v="9"/>
    <s v="Dining Chair Frame (D)"/>
    <x v="1"/>
    <x v="9"/>
    <n v="2492"/>
    <x v="0"/>
  </r>
  <r>
    <d v="2025-07-20T00:00:00"/>
    <x v="18"/>
    <s v="Bed Side Frame (F)"/>
    <x v="2"/>
    <x v="18"/>
    <n v="3120"/>
    <x v="2"/>
  </r>
  <r>
    <d v="2025-07-20T00:00:00"/>
    <x v="19"/>
    <s v="Centre Table Frame (B)"/>
    <x v="3"/>
    <x v="19"/>
    <n v="2030"/>
    <x v="2"/>
  </r>
  <r>
    <d v="2025-07-25T00:00:00"/>
    <x v="6"/>
    <s v="Dining Chair Frame (C)"/>
    <x v="0"/>
    <x v="6"/>
    <n v="4260"/>
    <x v="1"/>
  </r>
  <r>
    <d v="2025-07-29T00:00:00"/>
    <x v="9"/>
    <s v="Dining Chair Frame (D)"/>
    <x v="1"/>
    <x v="9"/>
    <n v="24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783DF-AAA1-4551-A6F0-3274A8A55CA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50:E72" firstHeaderRow="0" firstDataRow="1" firstDataCol="1"/>
  <pivotFields count="7">
    <pivotField showAll="0"/>
    <pivotField axis="axisRow" showAll="0" sortType="ascending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dataField="1" showAll="0"/>
    <pivotField showAll="0">
      <items count="4">
        <item x="1"/>
        <item x="0"/>
        <item x="2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6"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206C1-8EF1-4E76-AD35-466ABFAEA38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31:D35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5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3E977-0ECE-4A01-88E6-9DC7BEC83B70}" name="PivotTable2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C81:E100" firstHeaderRow="0" firstDataRow="1" firstDataCol="1"/>
  <pivotFields count="6">
    <pivotField numFmtId="14" showAll="0"/>
    <pivotField axis="axisRow" showAll="0" sortType="ascending">
      <items count="23">
        <item x="0"/>
        <item x="9"/>
        <item x="15"/>
        <item x="12"/>
        <item x="10"/>
        <item x="11"/>
        <item x="1"/>
        <item x="8"/>
        <item x="16"/>
        <item x="4"/>
        <item x="3"/>
        <item x="17"/>
        <item m="1" x="19"/>
        <item x="13"/>
        <item m="1" x="21"/>
        <item x="5"/>
        <item x="2"/>
        <item x="14"/>
        <item x="7"/>
        <item m="1" x="20"/>
        <item x="6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4CB4-DDB7-4B2F-AC44-1AA101EC9F37}">
  <dimension ref="A1:P128"/>
  <sheetViews>
    <sheetView tabSelected="1" zoomScale="70" zoomScaleNormal="70" workbookViewId="0">
      <selection activeCell="D135" sqref="D135:F156"/>
    </sheetView>
  </sheetViews>
  <sheetFormatPr defaultRowHeight="14.4"/>
  <cols>
    <col min="2" max="2" width="14.21875" bestFit="1" customWidth="1"/>
    <col min="3" max="3" width="16.77734375" bestFit="1" customWidth="1"/>
    <col min="4" max="4" width="10.77734375" bestFit="1" customWidth="1"/>
    <col min="5" max="5" width="19.77734375" bestFit="1" customWidth="1"/>
    <col min="6" max="6" width="13.44140625" bestFit="1" customWidth="1"/>
    <col min="7" max="8" width="20.33203125" bestFit="1" customWidth="1"/>
    <col min="9" max="9" width="18.77734375" bestFit="1" customWidth="1"/>
    <col min="10" max="10" width="15.109375" bestFit="1" customWidth="1"/>
    <col min="11" max="11" width="10.77734375" customWidth="1"/>
    <col min="17" max="17" width="13.44140625" bestFit="1" customWidth="1"/>
    <col min="18" max="18" width="20.33203125" bestFit="1" customWidth="1"/>
  </cols>
  <sheetData>
    <row r="1" spans="1:16" ht="23.4" customHeight="1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</row>
    <row r="3" spans="1:16" ht="21" customHeight="1">
      <c r="B3" s="3" t="s">
        <v>1</v>
      </c>
      <c r="C3" s="4">
        <f>SUM([1]!Sale[Total Amount])</f>
        <v>369152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</row>
    <row r="4" spans="1:16" ht="24.6" customHeight="1">
      <c r="B4" s="3" t="s">
        <v>8</v>
      </c>
      <c r="C4" s="4">
        <f>SUM([1]Purchase!F2:F38)</f>
        <v>292599</v>
      </c>
      <c r="E4" s="6" t="s">
        <v>9</v>
      </c>
      <c r="F4" s="6" t="s">
        <v>10</v>
      </c>
      <c r="G4" s="6">
        <v>2480</v>
      </c>
      <c r="H4" s="6">
        <v>2923</v>
      </c>
      <c r="I4" s="6">
        <f t="shared" ref="I4:I24" si="0">H4-G4</f>
        <v>443</v>
      </c>
      <c r="J4" s="7">
        <f t="shared" ref="J4:J24" si="1">I4/G4*100</f>
        <v>17.862903225806452</v>
      </c>
    </row>
    <row r="5" spans="1:16">
      <c r="B5" s="3" t="s">
        <v>11</v>
      </c>
      <c r="C5" s="4" cm="1">
        <f t="array" ref="C5">SUM(I4:I24*D51:D71)</f>
        <v>54469.5</v>
      </c>
      <c r="E5" s="6" t="s">
        <v>12</v>
      </c>
      <c r="F5" s="6" t="s">
        <v>13</v>
      </c>
      <c r="G5" s="6">
        <v>1275</v>
      </c>
      <c r="H5" s="6">
        <v>1425</v>
      </c>
      <c r="I5" s="6">
        <f t="shared" si="0"/>
        <v>150</v>
      </c>
      <c r="J5" s="7">
        <f t="shared" si="1"/>
        <v>11.76470588235294</v>
      </c>
    </row>
    <row r="6" spans="1:16">
      <c r="B6" s="3"/>
      <c r="C6" s="4"/>
      <c r="E6" s="6" t="s">
        <v>14</v>
      </c>
      <c r="F6" s="6" t="s">
        <v>15</v>
      </c>
      <c r="G6" s="6">
        <v>3560</v>
      </c>
      <c r="H6" s="6">
        <v>4525</v>
      </c>
      <c r="I6" s="6">
        <f t="shared" si="0"/>
        <v>965</v>
      </c>
      <c r="J6" s="7">
        <f t="shared" si="1"/>
        <v>27.106741573033709</v>
      </c>
    </row>
    <row r="7" spans="1:16" ht="28.8">
      <c r="B7" s="3" t="s">
        <v>16</v>
      </c>
      <c r="C7" s="4" t="s">
        <v>17</v>
      </c>
      <c r="E7" s="6" t="s">
        <v>18</v>
      </c>
      <c r="F7" s="6" t="s">
        <v>19</v>
      </c>
      <c r="G7" s="6">
        <v>1410</v>
      </c>
      <c r="H7" s="6">
        <v>1650</v>
      </c>
      <c r="I7" s="6">
        <f t="shared" si="0"/>
        <v>240</v>
      </c>
      <c r="J7" s="7">
        <f t="shared" si="1"/>
        <v>17.021276595744681</v>
      </c>
    </row>
    <row r="8" spans="1:16" ht="23.4" customHeight="1">
      <c r="B8" s="3"/>
      <c r="C8" s="8"/>
      <c r="E8" s="6" t="s">
        <v>20</v>
      </c>
      <c r="F8" s="6" t="s">
        <v>21</v>
      </c>
      <c r="G8" s="6">
        <v>2720</v>
      </c>
      <c r="H8" s="6">
        <v>3120</v>
      </c>
      <c r="I8" s="6">
        <f t="shared" si="0"/>
        <v>400</v>
      </c>
      <c r="J8" s="7">
        <f t="shared" si="1"/>
        <v>14.705882352941178</v>
      </c>
    </row>
    <row r="9" spans="1:16" ht="31.2" customHeight="1">
      <c r="B9" s="9" t="s">
        <v>22</v>
      </c>
      <c r="C9" s="4">
        <f>COUNTA([2]Sale!A:A)</f>
        <v>64</v>
      </c>
      <c r="E9" s="6" t="s">
        <v>23</v>
      </c>
      <c r="F9" s="6" t="s">
        <v>23</v>
      </c>
      <c r="G9" s="6">
        <v>800</v>
      </c>
      <c r="H9" s="6">
        <v>950</v>
      </c>
      <c r="I9" s="6">
        <f t="shared" si="0"/>
        <v>150</v>
      </c>
      <c r="J9" s="7">
        <f t="shared" si="1"/>
        <v>18.75</v>
      </c>
    </row>
    <row r="10" spans="1:16" ht="37.200000000000003" customHeight="1">
      <c r="B10" s="9" t="s">
        <v>24</v>
      </c>
      <c r="C10">
        <f>COUNTA([1]Purchase!A:A)</f>
        <v>38</v>
      </c>
      <c r="E10" s="6" t="s">
        <v>25</v>
      </c>
      <c r="F10" s="6" t="s">
        <v>25</v>
      </c>
      <c r="G10" s="6">
        <v>651</v>
      </c>
      <c r="H10" s="6">
        <v>725</v>
      </c>
      <c r="I10" s="6">
        <f t="shared" si="0"/>
        <v>74</v>
      </c>
      <c r="J10" s="7">
        <f t="shared" si="1"/>
        <v>11.367127496159753</v>
      </c>
    </row>
    <row r="11" spans="1:16">
      <c r="E11" s="6" t="s">
        <v>26</v>
      </c>
      <c r="F11" s="6" t="s">
        <v>27</v>
      </c>
      <c r="G11" s="6">
        <v>703</v>
      </c>
      <c r="H11" s="6">
        <v>750</v>
      </c>
      <c r="I11" s="6">
        <f t="shared" si="0"/>
        <v>47</v>
      </c>
      <c r="J11" s="7">
        <f t="shared" si="1"/>
        <v>6.6856330014224756</v>
      </c>
    </row>
    <row r="12" spans="1:16">
      <c r="E12" s="6" t="s">
        <v>28</v>
      </c>
      <c r="F12" s="6" t="s">
        <v>29</v>
      </c>
      <c r="G12" s="6">
        <v>880</v>
      </c>
      <c r="H12" s="6">
        <v>1015</v>
      </c>
      <c r="I12" s="6">
        <f t="shared" si="0"/>
        <v>135</v>
      </c>
      <c r="J12" s="7">
        <f t="shared" si="1"/>
        <v>15.340909090909092</v>
      </c>
    </row>
    <row r="13" spans="1:16">
      <c r="E13" s="6" t="s">
        <v>30</v>
      </c>
      <c r="F13" s="6" t="s">
        <v>31</v>
      </c>
      <c r="G13" s="6">
        <v>757</v>
      </c>
      <c r="H13" s="6">
        <v>850</v>
      </c>
      <c r="I13" s="6">
        <f t="shared" si="0"/>
        <v>93</v>
      </c>
      <c r="J13" s="7">
        <f t="shared" si="1"/>
        <v>12.285336856010568</v>
      </c>
    </row>
    <row r="14" spans="1:16">
      <c r="E14" s="6" t="s">
        <v>32</v>
      </c>
      <c r="F14" s="6" t="s">
        <v>33</v>
      </c>
      <c r="G14" s="6">
        <v>890</v>
      </c>
      <c r="H14" s="6">
        <v>985</v>
      </c>
      <c r="I14" s="6">
        <f t="shared" si="0"/>
        <v>95</v>
      </c>
      <c r="J14" s="7">
        <f t="shared" si="1"/>
        <v>10.674157303370785</v>
      </c>
    </row>
    <row r="15" spans="1:16">
      <c r="E15" s="6" t="s">
        <v>34</v>
      </c>
      <c r="F15" s="6" t="s">
        <v>35</v>
      </c>
      <c r="G15" s="6">
        <v>605</v>
      </c>
      <c r="H15" s="6">
        <v>700</v>
      </c>
      <c r="I15" s="6">
        <f t="shared" si="0"/>
        <v>95</v>
      </c>
      <c r="J15" s="7">
        <f t="shared" si="1"/>
        <v>15.702479338842975</v>
      </c>
    </row>
    <row r="16" spans="1:16">
      <c r="E16" s="6" t="s">
        <v>36</v>
      </c>
      <c r="F16" s="6" t="s">
        <v>37</v>
      </c>
      <c r="G16" s="6">
        <v>580</v>
      </c>
      <c r="H16" s="6">
        <v>660</v>
      </c>
      <c r="I16" s="6">
        <f t="shared" si="0"/>
        <v>80</v>
      </c>
      <c r="J16" s="7">
        <f t="shared" si="1"/>
        <v>13.793103448275861</v>
      </c>
    </row>
    <row r="17" spans="2:10">
      <c r="E17" s="6" t="s">
        <v>38</v>
      </c>
      <c r="F17" s="6" t="s">
        <v>39</v>
      </c>
      <c r="G17" s="6">
        <v>625</v>
      </c>
      <c r="H17" s="6">
        <v>710</v>
      </c>
      <c r="I17" s="6">
        <f t="shared" si="0"/>
        <v>85</v>
      </c>
      <c r="J17" s="7">
        <f t="shared" si="1"/>
        <v>13.600000000000001</v>
      </c>
    </row>
    <row r="18" spans="2:10">
      <c r="E18" s="6" t="s">
        <v>40</v>
      </c>
      <c r="F18" s="6" t="s">
        <v>41</v>
      </c>
      <c r="G18" s="6">
        <v>540</v>
      </c>
      <c r="H18" s="6">
        <v>623</v>
      </c>
      <c r="I18" s="6">
        <f t="shared" si="0"/>
        <v>83</v>
      </c>
      <c r="J18" s="7">
        <f t="shared" si="1"/>
        <v>15.37037037037037</v>
      </c>
    </row>
    <row r="19" spans="2:10">
      <c r="B19" t="s">
        <v>42</v>
      </c>
      <c r="E19" s="6" t="s">
        <v>43</v>
      </c>
      <c r="F19" s="6" t="s">
        <v>44</v>
      </c>
      <c r="G19" s="6">
        <v>3075</v>
      </c>
      <c r="H19" s="6">
        <v>3600</v>
      </c>
      <c r="I19" s="6">
        <f t="shared" si="0"/>
        <v>525</v>
      </c>
      <c r="J19" s="7">
        <f t="shared" si="1"/>
        <v>17.073170731707318</v>
      </c>
    </row>
    <row r="20" spans="2:10">
      <c r="E20" s="6" t="s">
        <v>45</v>
      </c>
      <c r="F20" s="6" t="s">
        <v>17</v>
      </c>
      <c r="G20" s="6">
        <v>2731</v>
      </c>
      <c r="H20" s="6">
        <v>3225</v>
      </c>
      <c r="I20" s="6">
        <f t="shared" si="0"/>
        <v>494</v>
      </c>
      <c r="J20" s="7">
        <f t="shared" si="1"/>
        <v>18.088612229952396</v>
      </c>
    </row>
    <row r="21" spans="2:10">
      <c r="E21" s="6" t="s">
        <v>46</v>
      </c>
      <c r="F21" s="6" t="s">
        <v>47</v>
      </c>
      <c r="G21" s="6">
        <v>3730</v>
      </c>
      <c r="H21" s="6">
        <v>4540</v>
      </c>
      <c r="I21" s="6">
        <f t="shared" si="0"/>
        <v>810</v>
      </c>
      <c r="J21" s="7">
        <f t="shared" si="1"/>
        <v>21.715817694369974</v>
      </c>
    </row>
    <row r="22" spans="2:10">
      <c r="E22" s="6" t="s">
        <v>48</v>
      </c>
      <c r="F22" s="6" t="s">
        <v>49</v>
      </c>
      <c r="G22" s="6">
        <v>4330</v>
      </c>
      <c r="H22" s="6">
        <v>5450</v>
      </c>
      <c r="I22" s="6">
        <f t="shared" si="0"/>
        <v>1120</v>
      </c>
      <c r="J22" s="7">
        <f t="shared" si="1"/>
        <v>25.866050808314089</v>
      </c>
    </row>
    <row r="23" spans="2:10">
      <c r="E23" s="6" t="s">
        <v>50</v>
      </c>
      <c r="F23" s="6" t="s">
        <v>51</v>
      </c>
      <c r="G23" s="6">
        <v>2686</v>
      </c>
      <c r="H23" s="6">
        <v>2950</v>
      </c>
      <c r="I23" s="6">
        <f t="shared" si="0"/>
        <v>264</v>
      </c>
      <c r="J23" s="7">
        <f t="shared" si="1"/>
        <v>9.8287416232315703</v>
      </c>
    </row>
    <row r="24" spans="2:10">
      <c r="E24" s="6" t="s">
        <v>52</v>
      </c>
      <c r="F24" s="6" t="s">
        <v>53</v>
      </c>
      <c r="G24" s="6">
        <v>1050</v>
      </c>
      <c r="H24" s="6">
        <v>1200</v>
      </c>
      <c r="I24" s="6">
        <f t="shared" si="0"/>
        <v>150</v>
      </c>
      <c r="J24" s="7">
        <f t="shared" si="1"/>
        <v>14.285714285714285</v>
      </c>
    </row>
    <row r="27" spans="2:10" ht="18">
      <c r="B27" s="10" t="s">
        <v>54</v>
      </c>
      <c r="C27" s="11"/>
      <c r="D27" s="11"/>
      <c r="E27" s="11"/>
    </row>
    <row r="31" spans="2:10">
      <c r="C31" t="s">
        <v>55</v>
      </c>
      <c r="D31" t="s">
        <v>56</v>
      </c>
    </row>
    <row r="32" spans="2:10">
      <c r="C32" s="12" t="s">
        <v>57</v>
      </c>
      <c r="D32">
        <v>278590</v>
      </c>
    </row>
    <row r="33" spans="2:5">
      <c r="C33" s="12" t="s">
        <v>58</v>
      </c>
      <c r="D33">
        <v>39670</v>
      </c>
    </row>
    <row r="34" spans="2:5">
      <c r="C34" s="12" t="s">
        <v>59</v>
      </c>
      <c r="D34">
        <v>46632</v>
      </c>
    </row>
    <row r="35" spans="2:5">
      <c r="C35" s="12" t="s">
        <v>60</v>
      </c>
      <c r="D35">
        <v>364892</v>
      </c>
    </row>
    <row r="46" spans="2:5" ht="21">
      <c r="B46" s="13" t="s">
        <v>61</v>
      </c>
      <c r="C46" s="13"/>
      <c r="D46" s="13"/>
      <c r="E46" s="13"/>
    </row>
    <row r="50" spans="3:5">
      <c r="C50" t="s">
        <v>55</v>
      </c>
      <c r="D50" t="s">
        <v>62</v>
      </c>
      <c r="E50" t="s">
        <v>56</v>
      </c>
    </row>
    <row r="51" spans="3:5">
      <c r="C51" s="12" t="s">
        <v>9</v>
      </c>
      <c r="D51">
        <v>2</v>
      </c>
      <c r="E51">
        <v>5846</v>
      </c>
    </row>
    <row r="52" spans="3:5">
      <c r="C52" s="12" t="s">
        <v>12</v>
      </c>
      <c r="D52">
        <v>1</v>
      </c>
      <c r="E52">
        <v>1425</v>
      </c>
    </row>
    <row r="53" spans="3:5">
      <c r="C53" s="12" t="s">
        <v>14</v>
      </c>
      <c r="D53">
        <v>4</v>
      </c>
      <c r="E53">
        <v>18100</v>
      </c>
    </row>
    <row r="54" spans="3:5">
      <c r="C54" s="12" t="s">
        <v>18</v>
      </c>
      <c r="D54">
        <v>7</v>
      </c>
      <c r="E54">
        <v>11550</v>
      </c>
    </row>
    <row r="55" spans="3:5">
      <c r="C55" s="12" t="s">
        <v>20</v>
      </c>
      <c r="D55">
        <v>3</v>
      </c>
      <c r="E55">
        <v>9360</v>
      </c>
    </row>
    <row r="56" spans="3:5">
      <c r="C56" s="12" t="s">
        <v>23</v>
      </c>
      <c r="D56">
        <v>18</v>
      </c>
      <c r="E56">
        <v>17100</v>
      </c>
    </row>
    <row r="57" spans="3:5">
      <c r="C57" s="12" t="s">
        <v>25</v>
      </c>
      <c r="D57">
        <v>10</v>
      </c>
      <c r="E57">
        <v>7250</v>
      </c>
    </row>
    <row r="58" spans="3:5">
      <c r="C58" s="12" t="s">
        <v>26</v>
      </c>
      <c r="D58">
        <v>4</v>
      </c>
      <c r="E58">
        <v>3000</v>
      </c>
    </row>
    <row r="59" spans="3:5">
      <c r="C59" s="12" t="s">
        <v>28</v>
      </c>
      <c r="D59">
        <v>6</v>
      </c>
      <c r="E59">
        <v>6090</v>
      </c>
    </row>
    <row r="60" spans="3:5">
      <c r="C60" s="12" t="s">
        <v>30</v>
      </c>
      <c r="D60">
        <v>12</v>
      </c>
      <c r="E60">
        <v>10200</v>
      </c>
    </row>
    <row r="61" spans="3:5">
      <c r="C61" s="12" t="s">
        <v>32</v>
      </c>
      <c r="D61">
        <v>9</v>
      </c>
      <c r="E61">
        <v>8865</v>
      </c>
    </row>
    <row r="62" spans="3:5">
      <c r="C62" s="12" t="s">
        <v>34</v>
      </c>
      <c r="D62">
        <v>12</v>
      </c>
      <c r="E62">
        <v>8400</v>
      </c>
    </row>
    <row r="63" spans="3:5">
      <c r="C63" s="12" t="s">
        <v>36</v>
      </c>
      <c r="D63">
        <v>4</v>
      </c>
      <c r="E63">
        <v>2640</v>
      </c>
    </row>
    <row r="64" spans="3:5">
      <c r="C64" s="12" t="s">
        <v>38</v>
      </c>
      <c r="D64">
        <v>10</v>
      </c>
      <c r="E64">
        <v>7100</v>
      </c>
    </row>
    <row r="65" spans="2:6">
      <c r="C65" s="12" t="s">
        <v>40</v>
      </c>
      <c r="D65">
        <v>28</v>
      </c>
      <c r="E65">
        <v>17444</v>
      </c>
    </row>
    <row r="66" spans="2:6">
      <c r="C66" s="12" t="s">
        <v>43</v>
      </c>
      <c r="D66">
        <v>14</v>
      </c>
      <c r="E66">
        <v>50400</v>
      </c>
    </row>
    <row r="67" spans="2:6">
      <c r="C67" s="12" t="s">
        <v>45</v>
      </c>
      <c r="D67">
        <v>14</v>
      </c>
      <c r="E67">
        <v>45150</v>
      </c>
    </row>
    <row r="68" spans="2:6">
      <c r="C68" s="12" t="s">
        <v>46</v>
      </c>
      <c r="D68">
        <v>5</v>
      </c>
      <c r="E68">
        <v>22700</v>
      </c>
    </row>
    <row r="69" spans="2:6">
      <c r="C69" s="12" t="s">
        <v>48</v>
      </c>
      <c r="D69">
        <v>8</v>
      </c>
      <c r="E69">
        <v>43600</v>
      </c>
    </row>
    <row r="70" spans="2:6">
      <c r="C70" s="12" t="s">
        <v>50</v>
      </c>
      <c r="D70">
        <v>2</v>
      </c>
      <c r="E70">
        <v>5900</v>
      </c>
    </row>
    <row r="71" spans="2:6">
      <c r="C71" s="12" t="s">
        <v>52</v>
      </c>
      <c r="D71">
        <v>52.31</v>
      </c>
      <c r="E71">
        <v>62772</v>
      </c>
    </row>
    <row r="72" spans="2:6">
      <c r="C72" s="12" t="s">
        <v>60</v>
      </c>
      <c r="D72">
        <v>225.31</v>
      </c>
      <c r="E72">
        <v>364892</v>
      </c>
    </row>
    <row r="75" spans="2:6" ht="22.8" customHeight="1"/>
    <row r="76" spans="2:6" ht="13.8" customHeight="1"/>
    <row r="77" spans="2:6" ht="23.4" customHeight="1">
      <c r="B77" s="13" t="s">
        <v>63</v>
      </c>
      <c r="C77" s="13"/>
      <c r="D77" s="13"/>
      <c r="E77" s="13"/>
      <c r="F77" s="13"/>
    </row>
    <row r="81" spans="3:5">
      <c r="C81" t="s">
        <v>55</v>
      </c>
      <c r="D81" t="s">
        <v>62</v>
      </c>
      <c r="E81" t="s">
        <v>56</v>
      </c>
    </row>
    <row r="82" spans="3:5">
      <c r="C82" s="12" t="s">
        <v>9</v>
      </c>
      <c r="D82">
        <v>4</v>
      </c>
      <c r="E82">
        <v>9920</v>
      </c>
    </row>
    <row r="83" spans="3:5">
      <c r="C83" s="12" t="s">
        <v>12</v>
      </c>
      <c r="D83">
        <v>4</v>
      </c>
      <c r="E83">
        <v>5100</v>
      </c>
    </row>
    <row r="84" spans="3:5">
      <c r="C84" s="12" t="s">
        <v>14</v>
      </c>
      <c r="D84">
        <v>9</v>
      </c>
      <c r="E84">
        <v>32040</v>
      </c>
    </row>
    <row r="85" spans="3:5">
      <c r="C85" s="12" t="s">
        <v>18</v>
      </c>
      <c r="D85">
        <v>6</v>
      </c>
      <c r="E85">
        <v>8460</v>
      </c>
    </row>
    <row r="86" spans="3:5">
      <c r="C86" s="12" t="s">
        <v>20</v>
      </c>
      <c r="D86">
        <v>8</v>
      </c>
      <c r="E86">
        <v>21760</v>
      </c>
    </row>
    <row r="87" spans="3:5">
      <c r="C87" s="12" t="s">
        <v>23</v>
      </c>
      <c r="D87">
        <v>10</v>
      </c>
      <c r="E87">
        <v>8000</v>
      </c>
    </row>
    <row r="88" spans="3:5">
      <c r="C88" s="12" t="s">
        <v>25</v>
      </c>
      <c r="D88">
        <v>6</v>
      </c>
      <c r="E88">
        <v>3906</v>
      </c>
    </row>
    <row r="89" spans="3:5">
      <c r="C89" s="12" t="s">
        <v>26</v>
      </c>
      <c r="D89">
        <v>7</v>
      </c>
      <c r="E89">
        <v>4921</v>
      </c>
    </row>
    <row r="90" spans="3:5">
      <c r="C90" s="12" t="s">
        <v>28</v>
      </c>
      <c r="D90">
        <v>10</v>
      </c>
      <c r="E90">
        <v>8800</v>
      </c>
    </row>
    <row r="91" spans="3:5">
      <c r="C91" s="12" t="s">
        <v>30</v>
      </c>
      <c r="D91">
        <v>16</v>
      </c>
      <c r="E91">
        <v>12112</v>
      </c>
    </row>
    <row r="92" spans="3:5">
      <c r="C92" s="12" t="s">
        <v>32</v>
      </c>
      <c r="D92">
        <v>7</v>
      </c>
      <c r="E92">
        <v>6230</v>
      </c>
    </row>
    <row r="93" spans="3:5">
      <c r="C93" s="12" t="s">
        <v>36</v>
      </c>
      <c r="D93">
        <v>3</v>
      </c>
      <c r="E93">
        <v>1740</v>
      </c>
    </row>
    <row r="94" spans="3:5">
      <c r="C94" s="12" t="s">
        <v>40</v>
      </c>
      <c r="D94">
        <v>12</v>
      </c>
      <c r="E94">
        <v>6480</v>
      </c>
    </row>
    <row r="95" spans="3:5">
      <c r="C95" s="12" t="s">
        <v>43</v>
      </c>
      <c r="D95">
        <v>8</v>
      </c>
      <c r="E95">
        <v>24600</v>
      </c>
    </row>
    <row r="96" spans="3:5">
      <c r="C96" s="12" t="s">
        <v>45</v>
      </c>
      <c r="D96">
        <v>15</v>
      </c>
      <c r="E96">
        <v>40965</v>
      </c>
    </row>
    <row r="97" spans="2:12">
      <c r="C97" s="12" t="s">
        <v>46</v>
      </c>
      <c r="D97">
        <v>4</v>
      </c>
      <c r="E97">
        <v>14920</v>
      </c>
    </row>
    <row r="98" spans="2:12">
      <c r="C98" s="12" t="s">
        <v>48</v>
      </c>
      <c r="D98">
        <v>13</v>
      </c>
      <c r="E98">
        <v>56290</v>
      </c>
    </row>
    <row r="99" spans="2:12">
      <c r="C99" s="12" t="s">
        <v>52</v>
      </c>
      <c r="D99">
        <v>25.1</v>
      </c>
      <c r="E99">
        <v>26355</v>
      </c>
    </row>
    <row r="100" spans="2:12">
      <c r="C100" s="12" t="s">
        <v>60</v>
      </c>
      <c r="D100">
        <v>167.1</v>
      </c>
      <c r="E100">
        <v>292599</v>
      </c>
    </row>
    <row r="104" spans="2:12" ht="21">
      <c r="B104" s="13" t="s">
        <v>64</v>
      </c>
      <c r="C104" s="13"/>
      <c r="D104" s="13"/>
      <c r="E104" s="13"/>
    </row>
    <row r="107" spans="2:12">
      <c r="C107" s="5" t="s">
        <v>2</v>
      </c>
      <c r="D107" s="5" t="s">
        <v>3</v>
      </c>
      <c r="E107" s="5" t="s">
        <v>4</v>
      </c>
      <c r="F107" s="5" t="s">
        <v>5</v>
      </c>
      <c r="G107" s="5" t="s">
        <v>6</v>
      </c>
      <c r="H107" s="5" t="s">
        <v>65</v>
      </c>
      <c r="I107" s="5" t="s">
        <v>66</v>
      </c>
      <c r="J107" s="14" t="s">
        <v>67</v>
      </c>
      <c r="K107" s="14" t="s">
        <v>68</v>
      </c>
      <c r="L107" s="14" t="s">
        <v>69</v>
      </c>
    </row>
    <row r="108" spans="2:12">
      <c r="C108" s="6" t="s">
        <v>48</v>
      </c>
      <c r="D108" s="6" t="s">
        <v>49</v>
      </c>
      <c r="E108" s="6">
        <v>4330</v>
      </c>
      <c r="F108" s="6">
        <v>5450</v>
      </c>
      <c r="G108" s="6">
        <f>F108-E108</f>
        <v>1120</v>
      </c>
      <c r="H108" s="7">
        <v>8</v>
      </c>
      <c r="I108" s="7">
        <f>G108*H108</f>
        <v>8960</v>
      </c>
      <c r="J108" s="7">
        <f>I108/SUM($I$108:$I$128)</f>
        <v>0.16449572696646747</v>
      </c>
      <c r="K108" s="7">
        <f>J108</f>
        <v>0.16449572696646747</v>
      </c>
      <c r="L108" s="15" t="str">
        <f>IF(K108&lt;=0.8,"A",IF(K108&lt;=0.95,"B","C"))</f>
        <v>A</v>
      </c>
    </row>
    <row r="109" spans="2:12">
      <c r="C109" s="6" t="s">
        <v>52</v>
      </c>
      <c r="D109" s="6" t="s">
        <v>53</v>
      </c>
      <c r="E109" s="6">
        <v>1050</v>
      </c>
      <c r="F109" s="6">
        <v>1200</v>
      </c>
      <c r="G109" s="6">
        <f>F109-E109</f>
        <v>150</v>
      </c>
      <c r="H109" s="7">
        <v>52.31</v>
      </c>
      <c r="I109" s="7">
        <f>G109*H109</f>
        <v>7846.5</v>
      </c>
      <c r="J109" s="7">
        <f>I109/SUM($I$108:$I$128)</f>
        <v>0.14405309393330212</v>
      </c>
      <c r="K109" s="7">
        <f>K108+J109</f>
        <v>0.30854882089976959</v>
      </c>
      <c r="L109" s="15" t="str">
        <f t="shared" ref="L109:L128" si="2">IF(K109&lt;=0.8,"A",IF(K109&lt;=0.95,"B","C"))</f>
        <v>A</v>
      </c>
    </row>
    <row r="110" spans="2:12">
      <c r="C110" s="6" t="s">
        <v>43</v>
      </c>
      <c r="D110" s="6" t="s">
        <v>44</v>
      </c>
      <c r="E110" s="6">
        <v>3075</v>
      </c>
      <c r="F110" s="6">
        <v>3600</v>
      </c>
      <c r="G110" s="6">
        <f>F110-E110</f>
        <v>525</v>
      </c>
      <c r="H110" s="7">
        <v>14</v>
      </c>
      <c r="I110" s="7">
        <f>G110*H110</f>
        <v>7350</v>
      </c>
      <c r="J110" s="7">
        <f>I110/SUM($I$108:$I$128)</f>
        <v>0.13493790102718034</v>
      </c>
      <c r="K110" s="7">
        <f t="shared" ref="K110:K128" si="3">K109+J110</f>
        <v>0.44348672192694993</v>
      </c>
      <c r="L110" s="15" t="str">
        <f t="shared" si="2"/>
        <v>A</v>
      </c>
    </row>
    <row r="111" spans="2:12">
      <c r="C111" s="6" t="s">
        <v>45</v>
      </c>
      <c r="D111" s="6" t="s">
        <v>17</v>
      </c>
      <c r="E111" s="6">
        <v>2731</v>
      </c>
      <c r="F111" s="6">
        <v>3225</v>
      </c>
      <c r="G111" s="6">
        <f>F111-E111</f>
        <v>494</v>
      </c>
      <c r="H111" s="7">
        <v>14</v>
      </c>
      <c r="I111" s="7">
        <f>G111*H111</f>
        <v>6916</v>
      </c>
      <c r="J111" s="7">
        <f>I111/SUM($I$108:$I$128)</f>
        <v>0.12697013925224207</v>
      </c>
      <c r="K111" s="7">
        <f t="shared" si="3"/>
        <v>0.57045686117919203</v>
      </c>
      <c r="L111" s="15" t="str">
        <f t="shared" si="2"/>
        <v>A</v>
      </c>
    </row>
    <row r="112" spans="2:12">
      <c r="C112" s="6" t="s">
        <v>46</v>
      </c>
      <c r="D112" s="6" t="s">
        <v>47</v>
      </c>
      <c r="E112" s="6">
        <v>3730</v>
      </c>
      <c r="F112" s="6">
        <v>4540</v>
      </c>
      <c r="G112" s="6">
        <f>F112-E112</f>
        <v>810</v>
      </c>
      <c r="H112" s="7">
        <v>5</v>
      </c>
      <c r="I112" s="7">
        <f>G112*H112</f>
        <v>4050</v>
      </c>
      <c r="J112" s="7">
        <f>I112/SUM($I$108:$I$128)</f>
        <v>7.4353537300691219E-2</v>
      </c>
      <c r="K112" s="7">
        <f t="shared" si="3"/>
        <v>0.6448103984798832</v>
      </c>
      <c r="L112" s="15" t="str">
        <f t="shared" si="2"/>
        <v>A</v>
      </c>
    </row>
    <row r="113" spans="3:12">
      <c r="C113" s="6" t="s">
        <v>14</v>
      </c>
      <c r="D113" s="6" t="s">
        <v>15</v>
      </c>
      <c r="E113" s="6">
        <v>3560</v>
      </c>
      <c r="F113" s="6">
        <v>4525</v>
      </c>
      <c r="G113" s="6">
        <f>F113-E113</f>
        <v>965</v>
      </c>
      <c r="H113" s="7">
        <v>4</v>
      </c>
      <c r="I113" s="7">
        <f>G113*H113</f>
        <v>3860</v>
      </c>
      <c r="J113" s="7">
        <f>I113/SUM($I$108:$I$128)</f>
        <v>7.0865346661893355E-2</v>
      </c>
      <c r="K113" s="7">
        <f t="shared" si="3"/>
        <v>0.71567574514177656</v>
      </c>
      <c r="L113" s="15" t="str">
        <f t="shared" si="2"/>
        <v>A</v>
      </c>
    </row>
    <row r="114" spans="3:12">
      <c r="C114" s="6" t="s">
        <v>23</v>
      </c>
      <c r="D114" s="6" t="s">
        <v>23</v>
      </c>
      <c r="E114" s="6">
        <v>800</v>
      </c>
      <c r="F114" s="6">
        <v>950</v>
      </c>
      <c r="G114" s="6">
        <f>F114-E114</f>
        <v>150</v>
      </c>
      <c r="H114" s="7">
        <v>18</v>
      </c>
      <c r="I114" s="7">
        <f>G114*H114</f>
        <v>2700</v>
      </c>
      <c r="J114" s="7">
        <f>I114/SUM($I$108:$I$128)</f>
        <v>4.9569024867127477E-2</v>
      </c>
      <c r="K114" s="7">
        <f t="shared" si="3"/>
        <v>0.76524477000890401</v>
      </c>
      <c r="L114" s="15" t="str">
        <f t="shared" si="2"/>
        <v>A</v>
      </c>
    </row>
    <row r="115" spans="3:12">
      <c r="C115" s="6" t="s">
        <v>40</v>
      </c>
      <c r="D115" s="6" t="s">
        <v>41</v>
      </c>
      <c r="E115" s="6">
        <v>540</v>
      </c>
      <c r="F115" s="6">
        <v>623</v>
      </c>
      <c r="G115" s="6">
        <f>F115-E115</f>
        <v>83</v>
      </c>
      <c r="H115" s="7">
        <v>28</v>
      </c>
      <c r="I115" s="7">
        <f>G115*H115</f>
        <v>2324</v>
      </c>
      <c r="J115" s="7">
        <f>I115/SUM($I$108:$I$128)</f>
        <v>4.2666079181927503E-2</v>
      </c>
      <c r="K115" s="7">
        <f t="shared" si="3"/>
        <v>0.80791084919083156</v>
      </c>
      <c r="L115" s="15" t="str">
        <f t="shared" si="2"/>
        <v>B</v>
      </c>
    </row>
    <row r="116" spans="3:12">
      <c r="C116" s="6" t="s">
        <v>18</v>
      </c>
      <c r="D116" s="6" t="s">
        <v>19</v>
      </c>
      <c r="E116" s="6">
        <v>1410</v>
      </c>
      <c r="F116" s="6">
        <v>1650</v>
      </c>
      <c r="G116" s="6">
        <f>F116-E116</f>
        <v>240</v>
      </c>
      <c r="H116" s="7">
        <v>7</v>
      </c>
      <c r="I116" s="7">
        <f>G116*H116</f>
        <v>1680</v>
      </c>
      <c r="J116" s="7">
        <f>I116/SUM($I$108:$I$128)</f>
        <v>3.0842948806212651E-2</v>
      </c>
      <c r="K116" s="7">
        <f t="shared" si="3"/>
        <v>0.83875379799704419</v>
      </c>
      <c r="L116" s="15" t="str">
        <f t="shared" si="2"/>
        <v>B</v>
      </c>
    </row>
    <row r="117" spans="3:12">
      <c r="C117" s="6" t="s">
        <v>20</v>
      </c>
      <c r="D117" s="6" t="s">
        <v>21</v>
      </c>
      <c r="E117" s="6">
        <v>2720</v>
      </c>
      <c r="F117" s="6">
        <v>3120</v>
      </c>
      <c r="G117" s="6">
        <f>F117-E117</f>
        <v>400</v>
      </c>
      <c r="H117" s="7">
        <v>3</v>
      </c>
      <c r="I117" s="7">
        <f>G117*H117</f>
        <v>1200</v>
      </c>
      <c r="J117" s="7">
        <f>I117/SUM($I$108:$I$128)</f>
        <v>2.2030677718723322E-2</v>
      </c>
      <c r="K117" s="7">
        <f t="shared" si="3"/>
        <v>0.86078447571576755</v>
      </c>
      <c r="L117" s="15" t="str">
        <f t="shared" si="2"/>
        <v>B</v>
      </c>
    </row>
    <row r="118" spans="3:12">
      <c r="C118" s="6" t="s">
        <v>34</v>
      </c>
      <c r="D118" s="6" t="s">
        <v>35</v>
      </c>
      <c r="E118" s="6">
        <v>605</v>
      </c>
      <c r="F118" s="6">
        <v>700</v>
      </c>
      <c r="G118" s="6">
        <f>F118-E118</f>
        <v>95</v>
      </c>
      <c r="H118" s="7">
        <v>12</v>
      </c>
      <c r="I118" s="7">
        <f>G118*H118</f>
        <v>1140</v>
      </c>
      <c r="J118" s="7">
        <f>I118/SUM($I$108:$I$128)</f>
        <v>2.0929143832787156E-2</v>
      </c>
      <c r="K118" s="7">
        <f t="shared" si="3"/>
        <v>0.88171361954855465</v>
      </c>
      <c r="L118" s="15" t="str">
        <f t="shared" si="2"/>
        <v>B</v>
      </c>
    </row>
    <row r="119" spans="3:12">
      <c r="C119" s="6" t="s">
        <v>30</v>
      </c>
      <c r="D119" s="6" t="s">
        <v>31</v>
      </c>
      <c r="E119" s="6">
        <v>757</v>
      </c>
      <c r="F119" s="6">
        <v>850</v>
      </c>
      <c r="G119" s="6">
        <f>F119-E119</f>
        <v>93</v>
      </c>
      <c r="H119" s="7">
        <v>12</v>
      </c>
      <c r="I119" s="7">
        <f>G119*H119</f>
        <v>1116</v>
      </c>
      <c r="J119" s="7">
        <f>I119/SUM($I$108:$I$128)</f>
        <v>2.048853027841269E-2</v>
      </c>
      <c r="K119" s="7">
        <f t="shared" si="3"/>
        <v>0.90220214982696734</v>
      </c>
      <c r="L119" s="15" t="str">
        <f t="shared" si="2"/>
        <v>B</v>
      </c>
    </row>
    <row r="120" spans="3:12">
      <c r="C120" s="6" t="s">
        <v>9</v>
      </c>
      <c r="D120" s="6" t="s">
        <v>10</v>
      </c>
      <c r="E120" s="6">
        <v>2480</v>
      </c>
      <c r="F120" s="6">
        <v>2923</v>
      </c>
      <c r="G120" s="6">
        <f>F120-E120</f>
        <v>443</v>
      </c>
      <c r="H120" s="7">
        <v>2</v>
      </c>
      <c r="I120" s="7">
        <f>G120*H120</f>
        <v>886</v>
      </c>
      <c r="J120" s="7">
        <f>I120/SUM($I$108:$I$128)</f>
        <v>1.6265983715657385E-2</v>
      </c>
      <c r="K120" s="7">
        <f t="shared" si="3"/>
        <v>0.91846813354262469</v>
      </c>
      <c r="L120" s="15" t="str">
        <f t="shared" si="2"/>
        <v>B</v>
      </c>
    </row>
    <row r="121" spans="3:12">
      <c r="C121" s="6" t="s">
        <v>32</v>
      </c>
      <c r="D121" s="6" t="s">
        <v>33</v>
      </c>
      <c r="E121" s="6">
        <v>890</v>
      </c>
      <c r="F121" s="6">
        <v>985</v>
      </c>
      <c r="G121" s="6">
        <f>F121-E121</f>
        <v>95</v>
      </c>
      <c r="H121" s="7">
        <v>9</v>
      </c>
      <c r="I121" s="7">
        <f>G121*H121</f>
        <v>855</v>
      </c>
      <c r="J121" s="7">
        <f>I121/SUM($I$108:$I$128)</f>
        <v>1.5696857874590367E-2</v>
      </c>
      <c r="K121" s="7">
        <f t="shared" si="3"/>
        <v>0.9341649914172151</v>
      </c>
      <c r="L121" s="15" t="str">
        <f t="shared" si="2"/>
        <v>B</v>
      </c>
    </row>
    <row r="122" spans="3:12">
      <c r="C122" s="6" t="s">
        <v>38</v>
      </c>
      <c r="D122" s="6" t="s">
        <v>39</v>
      </c>
      <c r="E122" s="6">
        <v>625</v>
      </c>
      <c r="F122" s="6">
        <v>710</v>
      </c>
      <c r="G122" s="6">
        <f>F122-E122</f>
        <v>85</v>
      </c>
      <c r="H122" s="7">
        <v>10</v>
      </c>
      <c r="I122" s="7">
        <f>G122*H122</f>
        <v>850</v>
      </c>
      <c r="J122" s="7">
        <f>I122/SUM($I$108:$I$128)</f>
        <v>1.5605063384095686E-2</v>
      </c>
      <c r="K122" s="7">
        <f t="shared" si="3"/>
        <v>0.94977005480131083</v>
      </c>
      <c r="L122" s="15" t="str">
        <f t="shared" si="2"/>
        <v>B</v>
      </c>
    </row>
    <row r="123" spans="3:12">
      <c r="C123" s="6" t="s">
        <v>28</v>
      </c>
      <c r="D123" s="6" t="s">
        <v>29</v>
      </c>
      <c r="E123" s="6">
        <v>880</v>
      </c>
      <c r="F123" s="6">
        <v>1015</v>
      </c>
      <c r="G123" s="6">
        <f>F123-E123</f>
        <v>135</v>
      </c>
      <c r="H123" s="7">
        <v>6</v>
      </c>
      <c r="I123" s="7">
        <f>G123*H123</f>
        <v>810</v>
      </c>
      <c r="J123" s="7">
        <f>I123/SUM($I$108:$I$128)</f>
        <v>1.4870707460138242E-2</v>
      </c>
      <c r="K123" s="7">
        <f t="shared" si="3"/>
        <v>0.96464076226144901</v>
      </c>
      <c r="L123" s="15" t="str">
        <f t="shared" si="2"/>
        <v>C</v>
      </c>
    </row>
    <row r="124" spans="3:12">
      <c r="C124" s="6" t="s">
        <v>25</v>
      </c>
      <c r="D124" s="6" t="s">
        <v>25</v>
      </c>
      <c r="E124" s="6">
        <v>651</v>
      </c>
      <c r="F124" s="6">
        <v>725</v>
      </c>
      <c r="G124" s="6">
        <f>F124-E124</f>
        <v>74</v>
      </c>
      <c r="H124" s="7">
        <v>10</v>
      </c>
      <c r="I124" s="7">
        <f>G124*H124</f>
        <v>740</v>
      </c>
      <c r="J124" s="7">
        <f>I124/SUM($I$108:$I$128)</f>
        <v>1.3585584593212715E-2</v>
      </c>
      <c r="K124" s="7">
        <f t="shared" si="3"/>
        <v>0.9782263468546617</v>
      </c>
      <c r="L124" s="15" t="str">
        <f t="shared" si="2"/>
        <v>C</v>
      </c>
    </row>
    <row r="125" spans="3:12">
      <c r="C125" s="6" t="s">
        <v>50</v>
      </c>
      <c r="D125" s="6" t="s">
        <v>51</v>
      </c>
      <c r="E125" s="6">
        <v>2686</v>
      </c>
      <c r="F125" s="6">
        <v>2950</v>
      </c>
      <c r="G125" s="6">
        <f>F125-E125</f>
        <v>264</v>
      </c>
      <c r="H125" s="7">
        <v>2</v>
      </c>
      <c r="I125" s="7">
        <f>G125*H125</f>
        <v>528</v>
      </c>
      <c r="J125" s="7">
        <f>I125/SUM($I$108:$I$128)</f>
        <v>9.6934981962382618E-3</v>
      </c>
      <c r="K125" s="7">
        <f t="shared" si="3"/>
        <v>0.98791984505089991</v>
      </c>
      <c r="L125" s="15" t="str">
        <f t="shared" si="2"/>
        <v>C</v>
      </c>
    </row>
    <row r="126" spans="3:12">
      <c r="C126" s="6" t="s">
        <v>36</v>
      </c>
      <c r="D126" s="6" t="s">
        <v>37</v>
      </c>
      <c r="E126" s="6">
        <v>580</v>
      </c>
      <c r="F126" s="6">
        <v>660</v>
      </c>
      <c r="G126" s="6">
        <f>F126-E126</f>
        <v>80</v>
      </c>
      <c r="H126" s="7">
        <v>4</v>
      </c>
      <c r="I126" s="7">
        <f>G126*H126</f>
        <v>320</v>
      </c>
      <c r="J126" s="7">
        <f>I126/SUM($I$108:$I$128)</f>
        <v>5.8748473916595528E-3</v>
      </c>
      <c r="K126" s="7">
        <f t="shared" si="3"/>
        <v>0.99379469244255947</v>
      </c>
      <c r="L126" s="15" t="str">
        <f t="shared" si="2"/>
        <v>C</v>
      </c>
    </row>
    <row r="127" spans="3:12">
      <c r="C127" s="6" t="s">
        <v>26</v>
      </c>
      <c r="D127" s="6" t="s">
        <v>27</v>
      </c>
      <c r="E127" s="6">
        <v>703</v>
      </c>
      <c r="F127" s="6">
        <v>750</v>
      </c>
      <c r="G127" s="6">
        <f>F127-E127</f>
        <v>47</v>
      </c>
      <c r="H127" s="7">
        <v>4</v>
      </c>
      <c r="I127" s="7">
        <f>G127*H127</f>
        <v>188</v>
      </c>
      <c r="J127" s="7">
        <f>I127/SUM($I$108:$I$128)</f>
        <v>3.4514728425999873E-3</v>
      </c>
      <c r="K127" s="7">
        <f t="shared" si="3"/>
        <v>0.99724616528515941</v>
      </c>
      <c r="L127" s="15" t="str">
        <f t="shared" si="2"/>
        <v>C</v>
      </c>
    </row>
    <row r="128" spans="3:12">
      <c r="C128" s="6" t="s">
        <v>12</v>
      </c>
      <c r="D128" s="6" t="s">
        <v>13</v>
      </c>
      <c r="E128" s="6">
        <v>1275</v>
      </c>
      <c r="F128" s="6">
        <v>1425</v>
      </c>
      <c r="G128" s="6">
        <f>F128-E128</f>
        <v>150</v>
      </c>
      <c r="H128" s="7">
        <v>1</v>
      </c>
      <c r="I128" s="7">
        <f>G128*H128</f>
        <v>150</v>
      </c>
      <c r="J128" s="7">
        <f>I128/SUM($I$108:$I$128)</f>
        <v>2.7538347148404153E-3</v>
      </c>
      <c r="K128" s="7">
        <f t="shared" si="3"/>
        <v>0.99999999999999978</v>
      </c>
      <c r="L128" s="15" t="str">
        <f t="shared" si="2"/>
        <v>C</v>
      </c>
    </row>
  </sheetData>
  <mergeCells count="1">
    <mergeCell ref="C1:M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2025-11-08T13:33:34Z</dcterms:created>
  <dcterms:modified xsi:type="dcterms:W3CDTF">2025-11-08T13:34:12Z</dcterms:modified>
</cp:coreProperties>
</file>