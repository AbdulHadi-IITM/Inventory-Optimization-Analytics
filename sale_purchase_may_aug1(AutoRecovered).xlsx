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DE556B30-EFAD-4D81-85FF-0F361BF25CC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" sheetId="1" r:id="rId1"/>
    <sheet name="Sale" sheetId="2" r:id="rId2"/>
    <sheet name="Sheet2" sheetId="10" r:id="rId3"/>
    <sheet name="Summary" sheetId="3" r:id="rId4"/>
    <sheet name="Retail Sale" sheetId="8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0" i="10" l="1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G80" i="3"/>
  <c r="I109" i="10"/>
  <c r="J109" i="10" s="1"/>
  <c r="J110" i="10" s="1"/>
  <c r="G120" i="10"/>
  <c r="H120" i="10" s="1"/>
  <c r="G109" i="10"/>
  <c r="H109" i="10" s="1"/>
  <c r="G110" i="10"/>
  <c r="H110" i="10" s="1"/>
  <c r="H111" i="10"/>
  <c r="G111" i="10"/>
  <c r="G114" i="10"/>
  <c r="H114" i="10" s="1"/>
  <c r="H113" i="10"/>
  <c r="G113" i="10"/>
  <c r="G123" i="10"/>
  <c r="H123" i="10" s="1"/>
  <c r="G126" i="10"/>
  <c r="H126" i="10" s="1"/>
  <c r="G125" i="10"/>
  <c r="H125" i="10" s="1"/>
  <c r="H127" i="10"/>
  <c r="G127" i="10"/>
  <c r="G124" i="10"/>
  <c r="H124" i="10" s="1"/>
  <c r="H122" i="10"/>
  <c r="G122" i="10"/>
  <c r="G121" i="10"/>
  <c r="H121" i="10" s="1"/>
  <c r="G128" i="10"/>
  <c r="H128" i="10" s="1"/>
  <c r="G129" i="10"/>
  <c r="H129" i="10" s="1"/>
  <c r="H119" i="10"/>
  <c r="G119" i="10"/>
  <c r="G117" i="10"/>
  <c r="H117" i="10" s="1"/>
  <c r="H118" i="10"/>
  <c r="G118" i="10"/>
  <c r="G112" i="10"/>
  <c r="H112" i="10" s="1"/>
  <c r="H115" i="10"/>
  <c r="G115" i="10"/>
  <c r="G116" i="10"/>
  <c r="H116" i="10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2" i="1"/>
  <c r="C10" i="10"/>
  <c r="C9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F82" i="3"/>
  <c r="F83" i="3"/>
  <c r="F84" i="3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81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80" i="3"/>
  <c r="F80" i="3"/>
  <c r="J111" i="10" l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C5" i="10" a="1"/>
  <c r="C5" i="10" s="1"/>
  <c r="C3" i="10"/>
  <c r="F6" i="1"/>
  <c r="F29" i="1"/>
  <c r="F17" i="1"/>
  <c r="F5" i="1"/>
  <c r="F19" i="1"/>
  <c r="F3" i="1"/>
  <c r="F7" i="1"/>
  <c r="F13" i="1"/>
  <c r="F31" i="1"/>
  <c r="F30" i="1"/>
  <c r="F38" i="1"/>
  <c r="F25" i="1"/>
  <c r="F36" i="1"/>
  <c r="F24" i="1"/>
  <c r="F12" i="1"/>
  <c r="F4" i="1"/>
  <c r="F15" i="1"/>
  <c r="F35" i="1"/>
  <c r="F23" i="1"/>
  <c r="F11" i="1"/>
  <c r="F16" i="1"/>
  <c r="F27" i="1"/>
  <c r="F14" i="1"/>
  <c r="F37" i="1"/>
  <c r="F34" i="1"/>
  <c r="F22" i="1"/>
  <c r="F10" i="1"/>
  <c r="F28" i="1"/>
  <c r="F33" i="1"/>
  <c r="F21" i="1"/>
  <c r="F9" i="1"/>
  <c r="F18" i="1"/>
  <c r="F39" i="1"/>
  <c r="F26" i="1"/>
  <c r="F32" i="1"/>
  <c r="F20" i="1"/>
  <c r="F8" i="1"/>
  <c r="C4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<sst xmlns="http://schemas.openxmlformats.org/spreadsheetml/2006/main" count="556" uniqueCount="80">
  <si>
    <t>Date</t>
  </si>
  <si>
    <t>Item Code</t>
  </si>
  <si>
    <t>Item Description</t>
  </si>
  <si>
    <t>Rate</t>
  </si>
  <si>
    <t>Total Amount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</si>
  <si>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</si>
  <si>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</si>
  <si>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</si>
  <si>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</si>
  <si>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</si>
  <si>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</si>
  <si>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</si>
  <si>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</si>
  <si>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</si>
  <si>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</si>
  <si>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</si>
  <si>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</si>
  <si>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</si>
  <si>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</si>
  <si>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</si>
  <si>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</si>
  <si>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</si>
  <si>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</si>
  <si>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</si>
  <si>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</si>
  <si>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</si>
  <si>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</si>
  <si>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</si>
  <si>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</si>
  <si>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</si>
  <si>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</si>
  <si>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</si>
  <si>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</si>
  <si>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</si>
  <si>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</si>
  <si>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</si>
  <si>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</si>
  <si>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</si>
  <si>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</si>
  <si>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</si>
  <si>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</si>
  <si>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</si>
  <si>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</si>
  <si>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</si>
  <si>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</si>
  <si>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</si>
  <si>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</si>
  <si>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Total Purchase Records</t>
  </si>
  <si>
    <t>Total Sales Records</t>
  </si>
  <si>
    <t>Unique Purchase Items</t>
  </si>
  <si>
    <t>Unique Sales Items</t>
  </si>
  <si>
    <t>Total Purchase Value</t>
  </si>
  <si>
    <t>Total Sales Revenue</t>
  </si>
  <si>
    <t>Carpenter</t>
  </si>
  <si>
    <t>Retail</t>
  </si>
  <si>
    <t xml:space="preserve"> </t>
  </si>
  <si>
    <t>Coustomer Type</t>
  </si>
  <si>
    <t>Column Labels</t>
  </si>
  <si>
    <t>ABC Classification</t>
  </si>
  <si>
    <t>% of Total Sales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</si>
  <si>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</si>
  <si>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</si>
  <si>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</si>
  <si>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</si>
  <si>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</si>
  <si>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</si>
  <si>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</si>
  <si>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</si>
  <si>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Not Available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</si>
  <si>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</si>
  <si>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</si>
  <si>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</si>
  <si>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</si>
  <si>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</si>
  <si>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</si>
  <si>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</si>
  <si>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</si>
  <si>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</si>
  <si>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</si>
  <si>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 xml:space="preserve">Profit Contribution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</si>
</sst>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8"/>
      <color theme="1"/>
      <name val="Calibri"/>
      <family val="2"/>
      <scheme val="minor"/>
    </font>
    <font>
      <b/>
      <sz val="10"/>
      <color theme="1"/>
      <name val="Arial Unicode MS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0" fontId="0" fillId="5" borderId="0" xfId="0" applyFill="1"/>
    <xf numFmtId="0" fontId="2" fillId="3" borderId="0" xfId="0" applyFont="1" applyFill="1"/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[sale_purchase_may_aug1(AutoRecovered).xlsx]Sheet2!PivotTable30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Share by Customer Type (May–Aug 2024</a:t>
            </a:r>
            <a:endParaRPr lang="en-IN" sz="1000"/>
          </a:p>
        </c:rich>
      </c:tx>
      <c:layout>
        <c:manualLayout>
          <c:xMode val="edge"/>
          <c:yMode val="edge"/>
          <c:x val="0.249"/>
          <c:y val="0.13798839118385145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Sheet2!$C$30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073-47DE-9CBF-25E3FF6234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073-47DE-9CBF-25E3FF6234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Sheet2!$B$31:$B$34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Sheet2!$C$31:$C$34</c:f>
              <c:numCache>
                <c:formatCode>General</c:formatCode>
                <c:ptCount val="3"/>
                <c:pt idx="0">
                  <c:v>246810</c:v>
                </c:pt>
                <c:pt idx="1">
                  <c:v>22071</c:v>
                </c:pt>
                <c:pt idx="2">
                  <c:v>41666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073-47DE-9CBF-25E3FF6234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[sale_purchase_may_aug1(AutoRecovered).xlsx]Sheet2!PivotTable31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Sheet2!$D$52</c:f>
              <c:strCache>
                <c:ptCount val="1"/>
                <c:pt idx="0">
                  <c:v>Sum of Qty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Sheet2!$C$53:$C$74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Sheet2!$D$53:$D$74</c:f>
              <c:numCache>
                <c:formatCode>General</c:formatCode>
                <c:ptCount val="21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11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10</c:v>
                </c:pt>
                <c:pt idx="14">
                  <c:v>6</c:v>
                </c:pt>
                <c:pt idx="15">
                  <c:v>10</c:v>
                </c:pt>
                <c:pt idx="16">
                  <c:v>14</c:v>
                </c:pt>
                <c:pt idx="17">
                  <c:v>5</c:v>
                </c:pt>
                <c:pt idx="18">
                  <c:v>10</c:v>
                </c:pt>
                <c:pt idx="19">
                  <c:v>2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C-4676-BA41-C745500B8784}"/>
            </c:ext>
          </c:extLst>
        </c:ser>
        <c:ser>
          <c:idx val="1"/>
          <c:order val="1"/>
          <c:tx>
            <c:strRef>
              <c:f>Sheet2!$E$52</c:f>
              <c:strCache>
                <c:ptCount val="1"/>
                <c:pt idx="0">
                  <c:v>Sum of Total Amount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Sheet2!$C$53:$C$74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Sheet2!$E$53:$E$74</c:f>
              <c:numCache>
                <c:formatCode>General</c:formatCode>
                <c:ptCount val="21"/>
                <c:pt idx="0">
                  <c:v>5846</c:v>
                </c:pt>
                <c:pt idx="1">
                  <c:v>2500</c:v>
                </c:pt>
                <c:pt idx="2">
                  <c:v>18100</c:v>
                </c:pt>
                <c:pt idx="3">
                  <c:v>10560</c:v>
                </c:pt>
                <c:pt idx="4">
                  <c:v>21840</c:v>
                </c:pt>
                <c:pt idx="5">
                  <c:v>6930</c:v>
                </c:pt>
                <c:pt idx="6">
                  <c:v>2496</c:v>
                </c:pt>
                <c:pt idx="7">
                  <c:v>2190</c:v>
                </c:pt>
                <c:pt idx="8">
                  <c:v>6090</c:v>
                </c:pt>
                <c:pt idx="9">
                  <c:v>10670</c:v>
                </c:pt>
                <c:pt idx="10">
                  <c:v>5910</c:v>
                </c:pt>
                <c:pt idx="11">
                  <c:v>1320</c:v>
                </c:pt>
                <c:pt idx="12">
                  <c:v>2130</c:v>
                </c:pt>
                <c:pt idx="13">
                  <c:v>6230</c:v>
                </c:pt>
                <c:pt idx="14">
                  <c:v>4200</c:v>
                </c:pt>
                <c:pt idx="15">
                  <c:v>43100</c:v>
                </c:pt>
                <c:pt idx="16">
                  <c:v>54740</c:v>
                </c:pt>
                <c:pt idx="17">
                  <c:v>24700</c:v>
                </c:pt>
                <c:pt idx="18">
                  <c:v>58000</c:v>
                </c:pt>
                <c:pt idx="19">
                  <c:v>12600</c:v>
                </c:pt>
                <c:pt idx="20">
                  <c:v>10395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C-4676-BA41-C745500B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0926096"/>
        <c:axId val="320927056"/>
      </c:barChart>
      <c:catAx>
        <c:axId val="32092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7056"/>
        <c:crosses val="autoZero"/>
        <c:auto val="1"/>
        <c:lblAlgn val="ctr"/>
        <c:lblOffset val="100"/>
        <c:noMultiLvlLbl val="0"/>
      </c:catAx>
      <c:valAx>
        <c:axId val="320927056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[sale_purchase_may_aug1(AutoRecovered).xlsx]Sheet2!PivotTable29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Sheet2!$D$81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Sheet2!$C$82:$C$100</c:f>
              <c:strCache>
                <c:ptCount val="18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(D)</c:v>
                </c:pt>
                <c:pt idx="13">
                  <c:v>SSF (A)</c:v>
                </c:pt>
                <c:pt idx="14">
                  <c:v>SSF (B)</c:v>
                </c:pt>
                <c:pt idx="15">
                  <c:v>SSF (C)</c:v>
                </c:pt>
                <c:pt idx="16">
                  <c:v>SSF (D)</c:v>
                </c:pt>
                <c:pt idx="17">
                  <c:v>Teak Sawn Timber</c:v>
                </c:pt>
              </c:strCache>
            </c:strRef>
          </c:cat>
          <c:val>
            <c:numRef>
              <c:f>Sheet2!$D$82:$D$100</c:f>
              <c:numCache>
                <c:formatCode>General</c:formatCode>
                <c:ptCount val="18"/>
                <c:pt idx="0">
                  <c:v>14880</c:v>
                </c:pt>
                <c:pt idx="1">
                  <c:v>4100</c:v>
                </c:pt>
                <c:pt idx="2">
                  <c:v>32040</c:v>
                </c:pt>
                <c:pt idx="3">
                  <c:v>13560</c:v>
                </c:pt>
                <c:pt idx="4">
                  <c:v>21760</c:v>
                </c:pt>
                <c:pt idx="5">
                  <c:v>8000</c:v>
                </c:pt>
                <c:pt idx="6">
                  <c:v>3360</c:v>
                </c:pt>
                <c:pt idx="7">
                  <c:v>4599</c:v>
                </c:pt>
                <c:pt idx="8">
                  <c:v>8800</c:v>
                </c:pt>
                <c:pt idx="9">
                  <c:v>11102</c:v>
                </c:pt>
                <c:pt idx="10">
                  <c:v>8900</c:v>
                </c:pt>
                <c:pt idx="11">
                  <c:v>1740</c:v>
                </c:pt>
                <c:pt idx="12">
                  <c:v>6480</c:v>
                </c:pt>
                <c:pt idx="13">
                  <c:v>27000</c:v>
                </c:pt>
                <c:pt idx="14">
                  <c:v>37800</c:v>
                </c:pt>
                <c:pt idx="15">
                  <c:v>14920</c:v>
                </c:pt>
                <c:pt idx="16">
                  <c:v>56290</c:v>
                </c:pt>
                <c:pt idx="17">
                  <c:v>13470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A-460A-9EE6-EB14CC54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8518592"/>
        <c:axId val="328517632"/>
      </c:barChart>
      <c:catAx>
        <c:axId val="3285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7632"/>
        <c:crosses val="autoZero"/>
        <c:auto val="1"/>
        <c:lblAlgn val="ctr"/>
        <c:lblOffset val="100"/>
        <c:noMultiLvlLbl val="0"/>
      </c:catAx>
      <c:valAx>
        <c:axId val="3285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Sheet2!$I$108</c:f>
              <c:strCache>
                <c:ptCount val="1"/>
                <c:pt idx="0">
                  <c:v>Profit Contribution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Sheet2!$C$109:$C$129</c:f>
              <c:strCache>
                <c:ptCount val="21"/>
                <c:pt idx="0">
                  <c:v>SSF (E)</c:v>
                </c:pt>
                <c:pt idx="1">
                  <c:v>SSF (D)</c:v>
                </c:pt>
                <c:pt idx="2">
                  <c:v>SSF (C)</c:v>
                </c:pt>
                <c:pt idx="3">
                  <c:v>BSF (C)</c:v>
                </c:pt>
                <c:pt idx="4">
                  <c:v>SSF (A)</c:v>
                </c:pt>
                <c:pt idx="5">
                  <c:v>SSF (B)</c:v>
                </c:pt>
                <c:pt idx="6">
                  <c:v>BSF (B)</c:v>
                </c:pt>
                <c:pt idx="7">
                  <c:v>BSF (A)</c:v>
                </c:pt>
                <c:pt idx="8">
                  <c:v>BSF (F)</c:v>
                </c:pt>
                <c:pt idx="9">
                  <c:v>BSF (D)</c:v>
                </c:pt>
                <c:pt idx="10">
                  <c:v>Chair Frame (A)</c:v>
                </c:pt>
                <c:pt idx="11">
                  <c:v>Teak Sawn Timber</c:v>
                </c:pt>
                <c:pt idx="12">
                  <c:v>CTF (B)</c:v>
                </c:pt>
                <c:pt idx="13">
                  <c:v>CTF (C)</c:v>
                </c:pt>
                <c:pt idx="14">
                  <c:v>Dining Chair Frame (A)</c:v>
                </c:pt>
                <c:pt idx="15">
                  <c:v>CTSF (A)</c:v>
                </c:pt>
                <c:pt idx="16">
                  <c:v>DCF (C)</c:v>
                </c:pt>
                <c:pt idx="17">
                  <c:v>DCF (D)</c:v>
                </c:pt>
                <c:pt idx="18">
                  <c:v>DCF (B)</c:v>
                </c:pt>
                <c:pt idx="19">
                  <c:v>CTF (A)</c:v>
                </c:pt>
                <c:pt idx="20">
                  <c:v>Chair Frame (B)</c:v>
                </c:pt>
              </c:strCache>
            </c:strRef>
          </c:cat>
          <c:val>
            <c:numRef>
              <c:f>Sheet2!$I$109:$I$129</c:f>
              <c:numCache>
                <c:formatCode>0.00</c:formatCode>
                <c:ptCount val="21"/>
                <c:pt idx="0">
                  <c:v>0.15623388676910385</c:v>
                </c:pt>
                <c:pt idx="1">
                  <c:v>0.15159327627101166</c:v>
                </c:pt>
                <c:pt idx="2">
                  <c:v>0.12478086005981232</c:v>
                </c:pt>
                <c:pt idx="3">
                  <c:v>9.951531401464371E-2</c:v>
                </c:pt>
                <c:pt idx="4">
                  <c:v>9.6421573682582237E-2</c:v>
                </c:pt>
                <c:pt idx="5">
                  <c:v>7.8374755078890385E-2</c:v>
                </c:pt>
                <c:pt idx="6">
                  <c:v>4.6406104980921938E-2</c:v>
                </c:pt>
                <c:pt idx="7">
                  <c:v>4.5684232236774258E-2</c:v>
                </c:pt>
                <c:pt idx="8">
                  <c:v>4.1249871094152832E-2</c:v>
                </c:pt>
                <c:pt idx="9">
                  <c:v>3.9187377539445192E-2</c:v>
                </c:pt>
                <c:pt idx="10">
                  <c:v>1.9593688769722596E-2</c:v>
                </c:pt>
                <c:pt idx="11">
                  <c:v>1.4231205527482726E-2</c:v>
                </c:pt>
                <c:pt idx="12">
                  <c:v>1.3921831494276581E-2</c:v>
                </c:pt>
                <c:pt idx="13">
                  <c:v>1.1962462617304321E-2</c:v>
                </c:pt>
                <c:pt idx="14">
                  <c:v>1.1343714550892028E-2</c:v>
                </c:pt>
                <c:pt idx="15">
                  <c:v>9.7968443848612981E-3</c:v>
                </c:pt>
                <c:pt idx="16">
                  <c:v>8.7655976075074766E-3</c:v>
                </c:pt>
                <c:pt idx="17">
                  <c:v>8.5593482520367123E-3</c:v>
                </c:pt>
                <c:pt idx="18">
                  <c:v>8.2499742188305667E-3</c:v>
                </c:pt>
                <c:pt idx="19">
                  <c:v>7.5281014746828917E-3</c:v>
                </c:pt>
                <c:pt idx="20">
                  <c:v>6.5999793750644532E-3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B-4907-8439-6E12485A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931040"/>
        <c:axId val="324928160"/>
      </c:barChart>
      <c:lineChart>
        <c:grouping val="standard"/>
        <c:varyColors val="0"/>
        <c:ser>
          <c:idx val="1"/>
          <c:order val="1"/>
          <c:tx>
            <c:strRef>
              <c:f>Sheet2!$J$108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Sheet2!$C$109:$C$129</c:f>
              <c:strCache>
                <c:ptCount val="21"/>
                <c:pt idx="0">
                  <c:v>SSF (E)</c:v>
                </c:pt>
                <c:pt idx="1">
                  <c:v>SSF (D)</c:v>
                </c:pt>
                <c:pt idx="2">
                  <c:v>SSF (C)</c:v>
                </c:pt>
                <c:pt idx="3">
                  <c:v>BSF (C)</c:v>
                </c:pt>
                <c:pt idx="4">
                  <c:v>SSF (A)</c:v>
                </c:pt>
                <c:pt idx="5">
                  <c:v>SSF (B)</c:v>
                </c:pt>
                <c:pt idx="6">
                  <c:v>BSF (B)</c:v>
                </c:pt>
                <c:pt idx="7">
                  <c:v>BSF (A)</c:v>
                </c:pt>
                <c:pt idx="8">
                  <c:v>BSF (F)</c:v>
                </c:pt>
                <c:pt idx="9">
                  <c:v>BSF (D)</c:v>
                </c:pt>
                <c:pt idx="10">
                  <c:v>Chair Frame (A)</c:v>
                </c:pt>
                <c:pt idx="11">
                  <c:v>Teak Sawn Timber</c:v>
                </c:pt>
                <c:pt idx="12">
                  <c:v>CTF (B)</c:v>
                </c:pt>
                <c:pt idx="13">
                  <c:v>CTF (C)</c:v>
                </c:pt>
                <c:pt idx="14">
                  <c:v>Dining Chair Frame (A)</c:v>
                </c:pt>
                <c:pt idx="15">
                  <c:v>CTSF (A)</c:v>
                </c:pt>
                <c:pt idx="16">
                  <c:v>DCF (C)</c:v>
                </c:pt>
                <c:pt idx="17">
                  <c:v>DCF (D)</c:v>
                </c:pt>
                <c:pt idx="18">
                  <c:v>DCF (B)</c:v>
                </c:pt>
                <c:pt idx="19">
                  <c:v>CTF (A)</c:v>
                </c:pt>
                <c:pt idx="20">
                  <c:v>Chair Frame (B)</c:v>
                </c:pt>
              </c:strCache>
            </c:strRef>
          </c:cat>
          <c:val>
            <c:numRef>
              <c:f>Sheet2!$J$109:$J$129</c:f>
              <c:numCache>
                <c:formatCode>0.00</c:formatCode>
                <c:ptCount val="21"/>
                <c:pt idx="0">
                  <c:v>0.15623388676910385</c:v>
                </c:pt>
                <c:pt idx="1">
                  <c:v>0.30782716304011548</c:v>
                </c:pt>
                <c:pt idx="2">
                  <c:v>0.4326080230999278</c:v>
                </c:pt>
                <c:pt idx="3">
                  <c:v>0.53212333711457149</c:v>
                </c:pt>
                <c:pt idx="4">
                  <c:v>0.62854491079715369</c:v>
                </c:pt>
                <c:pt idx="5">
                  <c:v>0.70691966587604405</c:v>
                </c:pt>
                <c:pt idx="6">
                  <c:v>0.75332577085696595</c:v>
                </c:pt>
                <c:pt idx="7">
                  <c:v>0.79901000309374015</c:v>
                </c:pt>
                <c:pt idx="8">
                  <c:v>0.84025987418789294</c:v>
                </c:pt>
                <c:pt idx="9">
                  <c:v>0.87944725172733818</c:v>
                </c:pt>
                <c:pt idx="10">
                  <c:v>0.89904094049706074</c:v>
                </c:pt>
                <c:pt idx="11">
                  <c:v>0.91327214602454343</c:v>
                </c:pt>
                <c:pt idx="12">
                  <c:v>0.92719397751882004</c:v>
                </c:pt>
                <c:pt idx="13">
                  <c:v>0.93915644013612432</c:v>
                </c:pt>
                <c:pt idx="14">
                  <c:v>0.95050015468701632</c:v>
                </c:pt>
                <c:pt idx="15">
                  <c:v>0.9602969990718776</c:v>
                </c:pt>
                <c:pt idx="16">
                  <c:v>0.9690625966793851</c:v>
                </c:pt>
                <c:pt idx="17">
                  <c:v>0.97762194493142185</c:v>
                </c:pt>
                <c:pt idx="18">
                  <c:v>0.98587191915025241</c:v>
                </c:pt>
                <c:pt idx="19">
                  <c:v>0.99340002062493526</c:v>
                </c:pt>
                <c:pt idx="20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B-4907-8439-6E12485A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932000"/>
        <c:axId val="324943040"/>
      </c:lineChart>
      <c:catAx>
        <c:axId val="3249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28160"/>
        <c:crosses val="autoZero"/>
        <c:auto val="1"/>
        <c:lblAlgn val="ctr"/>
        <c:lblOffset val="100"/>
        <c:noMultiLvlLbl val="0"/>
      </c:catAx>
      <c:valAx>
        <c:axId val="3249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31040"/>
        <c:crosses val="autoZero"/>
        <c:crossBetween val="between"/>
      </c:valAx>
      <c:valAx>
        <c:axId val="3249430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32000"/>
        <c:crosses val="max"/>
        <c:crossBetween val="between"/>
      </c:valAx>
      <c:catAx>
        <c:axId val="32493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4943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Lit>
              <c:formatCode>General</c:formatCode>
              <c:ptCount val="2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</c:numLit>
          </c:cat>
          <c:val>
            <c:numLit>
              <c:formatCode>General</c:formatCode>
              <c:ptCount val="21"/>
              <c:pt idx="0">
                <c:v>38760</c:v>
              </c:pt>
              <c:pt idx="1">
                <c:v>57500</c:v>
              </c:pt>
              <c:pt idx="2">
                <c:v>30240</c:v>
              </c:pt>
              <c:pt idx="3">
                <c:v>40640</c:v>
              </c:pt>
              <c:pt idx="4">
                <c:v>35280</c:v>
              </c:pt>
              <c:pt idx="5">
                <c:v>24750</c:v>
              </c:pt>
              <c:pt idx="6">
                <c:v>15400</c:v>
              </c:pt>
              <c:pt idx="7">
                <c:v>9300</c:v>
              </c:pt>
              <c:pt idx="8">
                <c:v>21340</c:v>
              </c:pt>
              <c:pt idx="9">
                <c:v>28710</c:v>
              </c:pt>
              <c:pt idx="10">
                <c:v>27550</c:v>
              </c:pt>
              <c:pt idx="11">
                <c:v>15840</c:v>
              </c:pt>
              <c:pt idx="12">
                <c:v>11360</c:v>
              </c:pt>
              <c:pt idx="13">
                <c:v>24180</c:v>
              </c:pt>
              <c:pt idx="14">
                <c:v>25200</c:v>
              </c:pt>
              <c:pt idx="15">
                <c:v>176710</c:v>
              </c:pt>
              <c:pt idx="16">
                <c:v>163440</c:v>
              </c:pt>
              <c:pt idx="17">
                <c:v>143550</c:v>
              </c:pt>
              <c:pt idx="18">
                <c:v>133400</c:v>
              </c:pt>
              <c:pt idx="19">
                <c:v>88200</c:v>
              </c:pt>
              <c:pt idx="20">
                <c:v>40600</c:v>
              </c:pt>
            </c:numLit>
          </c:val>
          <c:extLst>
            <c:ext xmlns:c16="http://schemas.microsoft.com/office/drawing/2014/chart" uri="{C3380CC4-5D6E-409C-BE32-E72D297353CC}">
              <c16:uniqueId val="{00000000-89C3-4CFB-BEEE-2E0C8BB18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88683456"/>
        <c:axId val="1988684896"/>
      </c:barChart>
      <c:catAx>
        <c:axId val="1988683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84896"/>
        <c:crosses val="autoZero"/>
        <c:auto val="1"/>
        <c:lblAlgn val="ctr"/>
        <c:lblOffset val="100"/>
        <c:noMultiLvlLbl val="0"/>
      </c:catAx>
      <c:valAx>
        <c:axId val="1988684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[sale_purchase_may_aug1(AutoRecovered).xlsx]Summary!PivotTable6</c:name>
    <c:fmtId val="8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Summary!$D$49:$D$50</c:f>
              <c:strCache>
                <c:ptCount val="1"/>
                <c:pt idx="0">
                  <c:v>Carpenter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Summary!$D$51:$D$72</c:f>
              <c:numCache>
                <c:formatCode>General</c:formatCode>
                <c:ptCount val="21"/>
                <c:pt idx="0">
                  <c:v>6892</c:v>
                </c:pt>
                <c:pt idx="2">
                  <c:v>7200</c:v>
                </c:pt>
                <c:pt idx="3">
                  <c:v>22860</c:v>
                </c:pt>
                <c:pt idx="4">
                  <c:v>11760</c:v>
                </c:pt>
                <c:pt idx="5">
                  <c:v>3960</c:v>
                </c:pt>
                <c:pt idx="6">
                  <c:v>2496</c:v>
                </c:pt>
                <c:pt idx="7">
                  <c:v>1460</c:v>
                </c:pt>
                <c:pt idx="8">
                  <c:v>2030</c:v>
                </c:pt>
                <c:pt idx="9">
                  <c:v>12610</c:v>
                </c:pt>
                <c:pt idx="10">
                  <c:v>3940</c:v>
                </c:pt>
                <c:pt idx="11">
                  <c:v>1320</c:v>
                </c:pt>
                <c:pt idx="12">
                  <c:v>3550</c:v>
                </c:pt>
                <c:pt idx="13">
                  <c:v>6853</c:v>
                </c:pt>
                <c:pt idx="14">
                  <c:v>2800</c:v>
                </c:pt>
                <c:pt idx="15">
                  <c:v>43100</c:v>
                </c:pt>
                <c:pt idx="16">
                  <c:v>66470</c:v>
                </c:pt>
                <c:pt idx="17">
                  <c:v>24700</c:v>
                </c:pt>
                <c:pt idx="18">
                  <c:v>63800</c:v>
                </c:pt>
                <c:pt idx="19">
                  <c:v>31500</c:v>
                </c:pt>
                <c:pt idx="20">
                  <c:v>10395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6-4D5D-9180-DED65B8C1366}"/>
            </c:ext>
          </c:extLst>
        </c:ser>
        <c:ser>
          <c:idx val="1"/>
          <c:order val="1"/>
          <c:tx>
            <c:strRef>
              <c:f>Summary!$E$49:$E$50</c:f>
              <c:strCache>
                <c:ptCount val="1"/>
                <c:pt idx="0">
                  <c:v>Retail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Summary!$C$51:$C$72</c:f>
              <c:strCache>
                <c:ptCount val="21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(C)</c:v>
                </c:pt>
                <c:pt idx="13">
                  <c:v>DCF (D)</c:v>
                </c:pt>
                <c:pt idx="14">
                  <c:v>Dining Chair Frame (A)</c:v>
                </c:pt>
                <c:pt idx="15">
                  <c:v>SSF (A)</c:v>
                </c:pt>
                <c:pt idx="16">
                  <c:v>SSF (B)</c:v>
                </c:pt>
                <c:pt idx="17">
                  <c:v>SSF (C)</c:v>
                </c:pt>
                <c:pt idx="18">
                  <c:v>SSF (D)</c:v>
                </c:pt>
                <c:pt idx="19">
                  <c:v>SSF (E)</c:v>
                </c:pt>
                <c:pt idx="20">
                  <c:v>Teak Sawn Timber</c:v>
                </c:pt>
              </c:strCache>
            </c:strRef>
          </c:cat>
          <c:val>
            <c:numRef>
              <c:f>Summary!$E$51:$E$72</c:f>
              <c:numCache>
                <c:formatCode>General</c:formatCode>
                <c:ptCount val="21"/>
                <c:pt idx="1">
                  <c:v>2500</c:v>
                </c:pt>
                <c:pt idx="2">
                  <c:v>1800</c:v>
                </c:pt>
                <c:pt idx="3">
                  <c:v>2540</c:v>
                </c:pt>
                <c:pt idx="4">
                  <c:v>5880</c:v>
                </c:pt>
                <c:pt idx="5">
                  <c:v>990</c:v>
                </c:pt>
                <c:pt idx="8">
                  <c:v>1015</c:v>
                </c:pt>
                <c:pt idx="9">
                  <c:v>970</c:v>
                </c:pt>
                <c:pt idx="10">
                  <c:v>985</c:v>
                </c:pt>
                <c:pt idx="13">
                  <c:v>1246</c:v>
                </c:pt>
                <c:pt idx="14">
                  <c:v>1400</c:v>
                </c:pt>
                <c:pt idx="16">
                  <c:v>7820</c:v>
                </c:pt>
                <c:pt idx="19">
                  <c:v>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6-4D5D-9180-DED65B8C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5916960"/>
        <c:axId val="215913120"/>
      </c:barChart>
      <c:catAx>
        <c:axId val="21591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3120"/>
        <c:crosses val="autoZero"/>
        <c:auto val="1"/>
        <c:lblAlgn val="ctr"/>
        <c:lblOffset val="100"/>
        <c:noMultiLvlLbl val="0"/>
      </c:catAx>
      <c:valAx>
        <c:axId val="215913120"/>
        <c:scaling>
          <c:orientation val="minMax"/>
          <c:max val="17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16960"/>
        <c:crosses val="autoZero"/>
        <c:crossBetween val="between"/>
        <c:majorUnit val="20000"/>
        <c:minorUnit val="4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Summary!$D$79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Summary!$D$80:$D$100</c:f>
              <c:numCache>
                <c:formatCode>General</c:formatCode>
                <c:ptCount val="21"/>
                <c:pt idx="0">
                  <c:v>176710</c:v>
                </c:pt>
                <c:pt idx="1">
                  <c:v>163440</c:v>
                </c:pt>
                <c:pt idx="2">
                  <c:v>143550</c:v>
                </c:pt>
                <c:pt idx="3">
                  <c:v>133400</c:v>
                </c:pt>
                <c:pt idx="4">
                  <c:v>88200</c:v>
                </c:pt>
                <c:pt idx="5">
                  <c:v>57500</c:v>
                </c:pt>
                <c:pt idx="6">
                  <c:v>40640</c:v>
                </c:pt>
                <c:pt idx="7">
                  <c:v>40600</c:v>
                </c:pt>
                <c:pt idx="8">
                  <c:v>38760</c:v>
                </c:pt>
                <c:pt idx="9">
                  <c:v>35280</c:v>
                </c:pt>
                <c:pt idx="10">
                  <c:v>30240</c:v>
                </c:pt>
                <c:pt idx="11">
                  <c:v>28710</c:v>
                </c:pt>
                <c:pt idx="12">
                  <c:v>27550</c:v>
                </c:pt>
                <c:pt idx="13">
                  <c:v>25200</c:v>
                </c:pt>
                <c:pt idx="14">
                  <c:v>24750</c:v>
                </c:pt>
                <c:pt idx="15">
                  <c:v>24180</c:v>
                </c:pt>
                <c:pt idx="16">
                  <c:v>21340</c:v>
                </c:pt>
                <c:pt idx="17">
                  <c:v>15840</c:v>
                </c:pt>
                <c:pt idx="18">
                  <c:v>15400</c:v>
                </c:pt>
                <c:pt idx="19">
                  <c:v>11360</c:v>
                </c:pt>
                <c:pt idx="20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C-498E-BE2E-B8B89CCD6ED1}"/>
            </c:ext>
          </c:extLst>
        </c:ser>
        <c:ser>
          <c:idx val="1"/>
          <c:order val="1"/>
          <c:tx>
            <c:strRef>
              <c:f>Summary!$E$79</c:f>
              <c:strCache>
                <c:ptCount val="1"/>
                <c:pt idx="0">
                  <c:v>%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Summary!$E$80:$E$100</c:f>
              <c:numCache>
                <c:formatCode>General</c:formatCode>
                <c:ptCount val="21"/>
                <c:pt idx="0">
                  <c:v>0.15340075524111291</c:v>
                </c:pt>
                <c:pt idx="1">
                  <c:v>0.14188115803637311</c:v>
                </c:pt>
                <c:pt idx="2">
                  <c:v>0.12461478362776163</c:v>
                </c:pt>
                <c:pt idx="3">
                  <c:v>0.11580363731064716</c:v>
                </c:pt>
                <c:pt idx="4">
                  <c:v>7.6565823169408395E-2</c:v>
                </c:pt>
                <c:pt idx="5">
                  <c:v>4.9915360909761709E-2</c:v>
                </c:pt>
                <c:pt idx="6">
                  <c:v>3.5279308997786363E-2</c:v>
                </c:pt>
                <c:pt idx="7">
                  <c:v>3.5244585268457834E-2</c:v>
                </c:pt>
                <c:pt idx="8">
                  <c:v>3.364729371934546E-2</c:v>
                </c:pt>
                <c:pt idx="9">
                  <c:v>3.0626329267763357E-2</c:v>
                </c:pt>
                <c:pt idx="10">
                  <c:v>2.6251139372368594E-2</c:v>
                </c:pt>
                <c:pt idx="11">
                  <c:v>2.4922956725552323E-2</c:v>
                </c:pt>
                <c:pt idx="12">
                  <c:v>2.3915968575024957E-2</c:v>
                </c:pt>
                <c:pt idx="13">
                  <c:v>2.1875949476973827E-2</c:v>
                </c:pt>
                <c:pt idx="14">
                  <c:v>2.1485307522027867E-2</c:v>
                </c:pt>
                <c:pt idx="15">
                  <c:v>2.0990494379096315E-2</c:v>
                </c:pt>
                <c:pt idx="16">
                  <c:v>1.8525109596770693E-2</c:v>
                </c:pt>
                <c:pt idx="17">
                  <c:v>1.3750596814097835E-2</c:v>
                </c:pt>
                <c:pt idx="18">
                  <c:v>1.3368635791484005E-2</c:v>
                </c:pt>
                <c:pt idx="19">
                  <c:v>9.8615391293024879E-3</c:v>
                </c:pt>
                <c:pt idx="20">
                  <c:v>8.073267068883198E-3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C-498E-BE2E-B8B89CCD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3405312"/>
        <c:axId val="1973403872"/>
      </c:barChart>
      <c:lineChart>
        <c:grouping val="standard"/>
        <c:varyColors val="0"/>
        <c:ser>
          <c:idx val="2"/>
          <c:order val="2"/>
          <c:tx>
            <c:strRef>
              <c:f>Summary!$F$79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Summary!$F$80:$F$100</c:f>
              <c:numCache>
                <c:formatCode>General</c:formatCode>
                <c:ptCount val="21"/>
                <c:pt idx="0">
                  <c:v>0.15340075524111291</c:v>
                </c:pt>
                <c:pt idx="1">
                  <c:v>0.29528191327748599</c:v>
                </c:pt>
                <c:pt idx="2">
                  <c:v>0.41989669690524761</c:v>
                </c:pt>
                <c:pt idx="3">
                  <c:v>0.5357003342158948</c:v>
                </c:pt>
                <c:pt idx="4">
                  <c:v>0.61226615738530321</c:v>
                </c:pt>
                <c:pt idx="5">
                  <c:v>0.66218151829506489</c:v>
                </c:pt>
                <c:pt idx="6">
                  <c:v>0.6974608272928513</c:v>
                </c:pt>
                <c:pt idx="7">
                  <c:v>0.73270541256130917</c:v>
                </c:pt>
                <c:pt idx="8">
                  <c:v>0.76635270628065466</c:v>
                </c:pt>
                <c:pt idx="9">
                  <c:v>0.79697903554841798</c:v>
                </c:pt>
                <c:pt idx="10">
                  <c:v>0.82323017492078654</c:v>
                </c:pt>
                <c:pt idx="11">
                  <c:v>0.84815313164633888</c:v>
                </c:pt>
                <c:pt idx="12">
                  <c:v>0.87206910022136386</c:v>
                </c:pt>
                <c:pt idx="13">
                  <c:v>0.89394504969833766</c:v>
                </c:pt>
                <c:pt idx="14">
                  <c:v>0.91543035722036548</c:v>
                </c:pt>
                <c:pt idx="15">
                  <c:v>0.93642085159946176</c:v>
                </c:pt>
                <c:pt idx="16">
                  <c:v>0.95494596119623243</c:v>
                </c:pt>
                <c:pt idx="17">
                  <c:v>0.96869655801033028</c:v>
                </c:pt>
                <c:pt idx="18">
                  <c:v>0.98206519380181423</c:v>
                </c:pt>
                <c:pt idx="19">
                  <c:v>0.99192673293111677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C-498E-BE2E-B8B89CCD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247296"/>
        <c:axId val="1994555552"/>
      </c:lineChart>
      <c:catAx>
        <c:axId val="1973405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03872"/>
        <c:crosses val="autoZero"/>
        <c:auto val="1"/>
        <c:lblAlgn val="ctr"/>
        <c:lblOffset val="100"/>
        <c:noMultiLvlLbl val="0"/>
      </c:catAx>
      <c:valAx>
        <c:axId val="19734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05312"/>
        <c:crosses val="autoZero"/>
        <c:crossBetween val="between"/>
      </c:valAx>
      <c:valAx>
        <c:axId val="1994555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247296"/>
        <c:crosses val="max"/>
        <c:crossBetween val="between"/>
      </c:valAx>
      <c:catAx>
        <c:axId val="1986247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994555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[sale_purchase_may_aug1(AutoRecovered).xlsx]Summary!PivotTable4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Revenue Share by Customer Type (May–Aug 2024)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22-403C-8D80-C9AEF025F2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22-403C-8D80-C9AEF025F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Summary!$F$3:$F$5</c:f>
              <c:strCache>
                <c:ptCount val="2"/>
                <c:pt idx="0">
                  <c:v>Carpenter</c:v>
                </c:pt>
                <c:pt idx="1">
                  <c:v>Retail</c:v>
                </c:pt>
              </c:strCache>
            </c:strRef>
          </c:cat>
          <c:val>
            <c:numRef>
              <c:f>Summary!$G$3:$G$5</c:f>
              <c:numCache>
                <c:formatCode>General</c:formatCode>
                <c:ptCount val="2"/>
                <c:pt idx="0">
                  <c:v>329696</c:v>
                </c:pt>
                <c:pt idx="1">
                  <c:v>33446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2-403C-8D80-C9AEF025F20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[sale_purchase_may_aug1(AutoRecovered).xlsx]Summary!PivotTable3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Summary!$E$9</c:f>
              <c:strCache>
                <c:ptCount val="1"/>
                <c:pt idx="0">
                  <c:v>Sum of Qty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Summary!$D$10:$D$28</c:f>
              <c:strCache>
                <c:ptCount val="18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(D)</c:v>
                </c:pt>
                <c:pt idx="13">
                  <c:v>SSF (A)</c:v>
                </c:pt>
                <c:pt idx="14">
                  <c:v>SSF (B)</c:v>
                </c:pt>
                <c:pt idx="15">
                  <c:v>SSF (C)</c:v>
                </c:pt>
                <c:pt idx="16">
                  <c:v>SSF (D)</c:v>
                </c:pt>
                <c:pt idx="17">
                  <c:v>Teak Sawn Timber</c:v>
                </c:pt>
              </c:strCache>
            </c:strRef>
          </c:cat>
          <c:val>
            <c:numRef>
              <c:f>Summary!$E$10:$E$28</c:f>
              <c:numCache>
                <c:formatCode>General</c:formatCode>
                <c:ptCount val="18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13</c:v>
                </c:pt>
                <c:pt idx="10">
                  <c:v>10</c:v>
                </c:pt>
                <c:pt idx="11">
                  <c:v>3</c:v>
                </c:pt>
                <c:pt idx="12">
                  <c:v>12</c:v>
                </c:pt>
                <c:pt idx="13">
                  <c:v>8</c:v>
                </c:pt>
                <c:pt idx="14">
                  <c:v>12</c:v>
                </c:pt>
                <c:pt idx="15">
                  <c:v>4</c:v>
                </c:pt>
                <c:pt idx="16">
                  <c:v>13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7-4273-BFE0-CEF7A370A76E}"/>
            </c:ext>
          </c:extLst>
        </c:ser>
        <c:ser>
          <c:idx val="1"/>
          <c:order val="1"/>
          <c:tx>
            <c:strRef>
              <c:f>Summary!$F$9</c:f>
              <c:strCache>
                <c:ptCount val="1"/>
                <c:pt idx="0">
                  <c:v>Sum of Total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Summary!$D$10:$D$28</c:f>
              <c:strCache>
                <c:ptCount val="18"/>
                <c:pt idx="0">
                  <c:v>BSF (A)</c:v>
                </c:pt>
                <c:pt idx="1">
                  <c:v>BSF (B)</c:v>
                </c:pt>
                <c:pt idx="2">
                  <c:v>BSF (C)</c:v>
                </c:pt>
                <c:pt idx="3">
                  <c:v>BSF (D)</c:v>
                </c:pt>
                <c:pt idx="4">
                  <c:v>BSF (F)</c:v>
                </c:pt>
                <c:pt idx="5">
                  <c:v>Chair Frame (A)</c:v>
                </c:pt>
                <c:pt idx="6">
                  <c:v>Chair Frame (B)</c:v>
                </c:pt>
                <c:pt idx="7">
                  <c:v>CTF (A)</c:v>
                </c:pt>
                <c:pt idx="8">
                  <c:v>CTF (B)</c:v>
                </c:pt>
                <c:pt idx="9">
                  <c:v>CTF (C)</c:v>
                </c:pt>
                <c:pt idx="10">
                  <c:v>CTSF (A)</c:v>
                </c:pt>
                <c:pt idx="11">
                  <c:v>DCF (B)</c:v>
                </c:pt>
                <c:pt idx="12">
                  <c:v>DCF (D)</c:v>
                </c:pt>
                <c:pt idx="13">
                  <c:v>SSF (A)</c:v>
                </c:pt>
                <c:pt idx="14">
                  <c:v>SSF (B)</c:v>
                </c:pt>
                <c:pt idx="15">
                  <c:v>SSF (C)</c:v>
                </c:pt>
                <c:pt idx="16">
                  <c:v>SSF (D)</c:v>
                </c:pt>
                <c:pt idx="17">
                  <c:v>Teak Sawn Timber</c:v>
                </c:pt>
              </c:strCache>
            </c:strRef>
          </c:cat>
          <c:val>
            <c:numRef>
              <c:f>Summary!$F$10:$F$28</c:f>
              <c:numCache>
                <c:formatCode>General</c:formatCode>
                <c:ptCount val="18"/>
                <c:pt idx="0">
                  <c:v>14880</c:v>
                </c:pt>
                <c:pt idx="1">
                  <c:v>4100</c:v>
                </c:pt>
                <c:pt idx="2">
                  <c:v>32040</c:v>
                </c:pt>
                <c:pt idx="3">
                  <c:v>13560</c:v>
                </c:pt>
                <c:pt idx="4">
                  <c:v>21760</c:v>
                </c:pt>
                <c:pt idx="5">
                  <c:v>8000</c:v>
                </c:pt>
                <c:pt idx="6">
                  <c:v>3360</c:v>
                </c:pt>
                <c:pt idx="7">
                  <c:v>4599</c:v>
                </c:pt>
                <c:pt idx="8">
                  <c:v>8800</c:v>
                </c:pt>
                <c:pt idx="9">
                  <c:v>11102</c:v>
                </c:pt>
                <c:pt idx="10">
                  <c:v>8900</c:v>
                </c:pt>
                <c:pt idx="11">
                  <c:v>1740</c:v>
                </c:pt>
                <c:pt idx="12">
                  <c:v>6480</c:v>
                </c:pt>
                <c:pt idx="13">
                  <c:v>27000</c:v>
                </c:pt>
                <c:pt idx="14">
                  <c:v>37800</c:v>
                </c:pt>
                <c:pt idx="15">
                  <c:v>14920</c:v>
                </c:pt>
                <c:pt idx="16">
                  <c:v>56290</c:v>
                </c:pt>
                <c:pt idx="17">
                  <c:v>13470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7-4273-BFE0-CEF7A370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9723312"/>
        <c:axId val="129721872"/>
      </c:barChart>
      <c:catAx>
        <c:axId val="129723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21872"/>
        <c:crosses val="autoZero"/>
        <c:auto val="1"/>
        <c:lblAlgn val="ctr"/>
        <c:lblOffset val="100"/>
        <c:noMultiLvlLbl val="0"/>
      </c:catAx>
      <c:valAx>
        <c:axId val="12972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2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385482</xdr:colOff>
      <xdr:row>27</xdr:row>
      <xdr:rowOff>161366</xdr:rowOff>
    </xdr:from>
    <xdr:to>
      <xdr:col>9</xdr:col>
      <xdr:colOff>385482</xdr:colOff>
      <xdr:row>43</xdr:row>
      <xdr:rowOff>35860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2380F-9BD8-E79F-B50B-97DB4024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555811</xdr:colOff>
      <xdr:row>53</xdr:row>
      <xdr:rowOff>62753</xdr:rowOff>
    </xdr:from>
    <xdr:to>
      <xdr:col>12</xdr:col>
      <xdr:colOff>430305</xdr:colOff>
      <xdr:row>71</xdr:row>
      <xdr:rowOff>71717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180F9-1803-C0AB-06B7-6C6B4470D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421341</xdr:colOff>
      <xdr:row>80</xdr:row>
      <xdr:rowOff>125504</xdr:rowOff>
    </xdr:from>
    <xdr:to>
      <xdr:col>12</xdr:col>
      <xdr:colOff>510989</xdr:colOff>
      <xdr:row>99</xdr:row>
      <xdr:rowOff>35857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157BB8-B738-10D2-9D53-C22281487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174811</xdr:colOff>
      <xdr:row>109</xdr:row>
      <xdr:rowOff>35859</xdr:rowOff>
    </xdr:from>
    <xdr:to>
      <xdr:col>18</xdr:col>
      <xdr:colOff>479611</xdr:colOff>
      <xdr:row>124</xdr:row>
      <xdr:rowOff>89647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785CC4-376C-C868-13BB-B1DD44D27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167640</xdr:rowOff>
    </xdr:from>
    <xdr:to>
      <xdr:col>6</xdr:col>
      <xdr:colOff>365760</xdr:colOff>
      <xdr:row>42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14D1F-0F7D-9A85-468B-EDF56636D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628650</xdr:colOff>
      <xdr:row>48</xdr:row>
      <xdr:rowOff>68580</xdr:rowOff>
    </xdr:from>
    <xdr:to>
      <xdr:col>10</xdr:col>
      <xdr:colOff>655320</xdr:colOff>
      <xdr:row>73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42BE91-73A7-8C58-BE22-DB26CC72D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381000</xdr:colOff>
      <xdr:row>83</xdr:row>
      <xdr:rowOff>118110</xdr:rowOff>
    </xdr:from>
    <xdr:to>
      <xdr:col>10</xdr:col>
      <xdr:colOff>1005840</xdr:colOff>
      <xdr:row>98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EE7798-2CBE-BEA1-62E5-A2B6C0774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297180</xdr:colOff>
      <xdr:row>1</xdr:row>
      <xdr:rowOff>45720</xdr:rowOff>
    </xdr:from>
    <xdr:to>
      <xdr:col>11</xdr:col>
      <xdr:colOff>544830</xdr:colOff>
      <xdr:row>6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9CC355-71C8-4F9B-B5D0-83FD94FE4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891540</xdr:colOff>
      <xdr:row>9</xdr:row>
      <xdr:rowOff>106680</xdr:rowOff>
    </xdr:from>
    <xdr:to>
      <xdr:col>10</xdr:col>
      <xdr:colOff>449580</xdr:colOff>
      <xdr:row>24</xdr:row>
      <xdr:rowOff>144780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033D77-FC0D-42E5-AB5D-FD31DF848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38.805593055557" createdVersion="8" refreshedVersion="8" minRefreshableVersion="3" recordCount="75" xr:uid="{2BC14EEB-0A83-4E68-9978-E069B5F189EB}">
  <cacheSource type="worksheet">
    <worksheetSource ref="A1:G65" sheet="Sale"/>
  </cacheSource>
  <cacheFields count="7">
    <cacheField name="Date" numFmtId="14">
      <sharedItems containsNonDate="0" containsDate="1" containsString="0" containsBlank="1" minDate="2025-05-02T00:00:00" maxDate="2025-08-30T00:00:00"/>
    </cacheField>
    <cacheField name="Item Code" numFmtId="0">
      <sharedItems containsBlank="1" count="22">
        <s v="CTSF (A)"/>
        <s v="DCF (B)"/>
        <s v="CTF (C)"/>
        <s v="Dining Chair Frame (A)"/>
        <s v="DCF (C)"/>
        <s v="BSF (D)"/>
        <s v="SSF (B)"/>
        <s v="SSF (D)"/>
        <s v="BSF (F)"/>
        <s v="SSF (E)"/>
        <s v="DCF (D)"/>
        <s v="CTF (A)"/>
        <s v="Teak Sawn Timber"/>
        <s v="BSF (B)"/>
        <s v="Chair Frame (B)"/>
        <s v="SSF (A)"/>
        <s v="BSF (A)"/>
        <s v="Chair Frame (A)"/>
        <s v="CTF (B)"/>
        <s v="SSF (C)"/>
        <s v="BSF (C)"/>
        <m/>
      </sharedItems>
    </cacheField>
    <cacheField name="Item Description" numFmtId="0">
      <sharedItems containsBlank="1"/>
    </cacheField>
    <cacheField name="Qty" numFmtId="0">
      <sharedItems containsString="0" containsBlank="1" containsNumber="1" containsInteger="1" minValue="1" maxValue="7"/>
    </cacheField>
    <cacheField name="Rate" numFmtId="0">
      <sharedItems containsString="0" containsBlank="1" containsNumber="1" containsInteger="1" minValue="623" maxValue="6300"/>
    </cacheField>
    <cacheField name="Total Amount" numFmtId="0">
      <sharedItems containsString="0" containsBlank="1" containsNumber="1" containsInteger="1" minValue="623" maxValue="21550"/>
    </cacheField>
    <cacheField name="Coustomer Type" numFmtId="0">
      <sharedItems containsBlank="1" count="5">
        <s v="Not Available"/>
        <s v="Carpenter"/>
        <s v="Retail"/>
        <m/>
        <s v="Carpen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40.531006481484" createdVersion="8" refreshedVersion="8" minRefreshableVersion="3" recordCount="63" xr:uid="{BB607A7A-E069-4B29-884E-FFD7FFACA819}">
  <cacheSource type="worksheet">
    <worksheetSource ref="A1:G64" sheet="Sale"/>
  </cacheSource>
  <cacheFields count="7">
    <cacheField name="Date" numFmtId="14">
      <sharedItems containsSemiMixedTypes="0" containsNonDate="0" containsDate="1" containsString="0" minDate="2025-05-02T00:00:00" maxDate="2025-08-30T00:00:00"/>
    </cacheField>
    <cacheField name="Item Code" numFmtId="0">
      <sharedItems count="23">
        <s v="CTSF (A)"/>
        <s v="DCF (B)"/>
        <s v="BSF (B)"/>
        <s v="BSF (A)"/>
        <s v="SSF (C)"/>
        <s v="Dining Chair Frame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  <s v="BSF(B)" u="1"/>
        <s v="Formula1" f="1"/>
      </sharedItems>
    </cacheField>
    <cacheField name="Item Description" numFmtId="0">
      <sharedItems/>
    </cacheField>
    <cacheField name="Qty" numFmtId="0">
      <sharedItems containsSemiMixedTypes="0" containsString="0" containsNumber="1" containsInteger="1" minValue="1" maxValue="5"/>
    </cacheField>
    <cacheField name="Rate" numFmtId="0">
      <sharedItems containsSemiMixedTypes="0" containsString="0" containsNumber="1" containsInteger="1" minValue="623" maxValue="6300"/>
    </cacheField>
    <cacheField name="Total Amount" numFmtId="0">
      <sharedItems containsSemiMixedTypes="0" containsString="0" containsNumber="1" containsInteger="1" minValue="623" maxValue="21550"/>
    </cacheField>
    <cacheField name="Coustomer Type" numFmtId="0">
      <sharedItems count="3">
        <s v="Not Available"/>
        <s v="Carpenter"/>
        <s v="Retail"/>
      </sharedItems>
    </cacheField>
  </cacheFields>
  <calculatedItems count="1">
    <calculatedItem>
      <pivotArea cacheIndex="1" outline="0" fieldPosition="0">
        <references count="1">
          <reference field="1" count="1">
            <x v="2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40.531196643518" createdVersion="8" refreshedVersion="8" minRefreshableVersion="3" recordCount="38" xr:uid="{A4DE49E9-2BF3-437A-82A6-B2D7E54335A5}">
  <cacheSource type="worksheet">
    <worksheetSource ref="A1:F39" sheet="Purchase"/>
  </cacheSource>
  <cacheFields count="6">
    <cacheField name="Date" numFmtId="14">
      <sharedItems containsSemiMixedTypes="0" containsNonDate="0" containsDate="1" containsString="0" minDate="2025-05-04T00:00:00" maxDate="2025-09-01T00:00:00"/>
    </cacheField>
    <cacheField name="Item Code" numFmtId="0">
      <sharedItems containsBlank="1" count="22">
        <s v="BSF (A)"/>
        <s v="Chair Frame (B)"/>
        <s v="SSF (B)"/>
        <s v="CTSF (A)"/>
        <s v="CTF (C)"/>
        <s v="SSF (A)"/>
        <s v="Teak Sawn Timber"/>
        <s v="SSF (D)"/>
        <s v="CTF (A)"/>
        <s v="BSF (B)"/>
        <s v="BSF (F)"/>
        <s v="Chair Frame (A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containsInteger="1" minValue="1" maxValue="7" count="7">
        <n v="2"/>
        <n v="3"/>
        <n v="4"/>
        <n v="5"/>
        <n v="7"/>
        <n v="6"/>
        <n v="1"/>
      </sharedItems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containsInteger="1" minValue="1680" maxValue="23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d v="2025-05-02T00:00:00"/>
    <x v="0"/>
    <s v="Centre Table Side Frame (A)"/>
    <n v="1"/>
    <n v="985"/>
    <n v="985"/>
    <x v="0"/>
  </r>
  <r>
    <d v="2025-05-03T00:00:00"/>
    <x v="1"/>
    <s v="Dining Chair Frame (B)"/>
    <n v="2"/>
    <n v="660"/>
    <n v="1320"/>
    <x v="1"/>
  </r>
  <r>
    <d v="2025-05-03T00:00:00"/>
    <x v="2"/>
    <s v="Centre Table Frame (C)"/>
    <n v="3"/>
    <n v="970"/>
    <n v="2910"/>
    <x v="1"/>
  </r>
  <r>
    <d v="2025-05-10T00:00:00"/>
    <x v="3"/>
    <s v="Dining Chair Frame (A)"/>
    <n v="1"/>
    <n v="700"/>
    <n v="700"/>
    <x v="2"/>
  </r>
  <r>
    <d v="2025-05-18T00:00:00"/>
    <x v="4"/>
    <s v="Dining Chair Frame (C)"/>
    <n v="2"/>
    <n v="710"/>
    <n v="1420"/>
    <x v="1"/>
  </r>
  <r>
    <d v="2025-05-19T00:00:00"/>
    <x v="5"/>
    <s v="Bed Side Frame (D)"/>
    <n v="1"/>
    <n v="2540"/>
    <n v="2540"/>
    <x v="1"/>
  </r>
  <r>
    <d v="2025-05-19T00:00:00"/>
    <x v="6"/>
    <s v="Sofa Side Frame (B)"/>
    <n v="3"/>
    <n v="3910"/>
    <n v="11730"/>
    <x v="1"/>
  </r>
  <r>
    <d v="2025-05-20T00:00:00"/>
    <x v="7"/>
    <s v="Sofa Side Frame (D)"/>
    <n v="3"/>
    <n v="5800"/>
    <n v="17400"/>
    <x v="1"/>
  </r>
  <r>
    <d v="2025-05-21T00:00:00"/>
    <x v="8"/>
    <s v="Bed Side Frame (F)"/>
    <n v="2"/>
    <n v="1960"/>
    <n v="3920"/>
    <x v="1"/>
  </r>
  <r>
    <d v="2025-05-21T00:00:00"/>
    <x v="9"/>
    <s v="Sofa Side Frame (E)"/>
    <n v="3"/>
    <n v="6300"/>
    <n v="18900"/>
    <x v="0"/>
  </r>
  <r>
    <d v="2025-05-23T00:00:00"/>
    <x v="10"/>
    <s v="Dining Chair Frame (D)"/>
    <n v="2"/>
    <n v="623"/>
    <n v="1246"/>
    <x v="0"/>
  </r>
  <r>
    <d v="2025-05-25T00:00:00"/>
    <x v="2"/>
    <s v="Centre Table Frame (C)"/>
    <n v="2"/>
    <n v="970"/>
    <n v="1940"/>
    <x v="0"/>
  </r>
  <r>
    <d v="2025-05-31T00:00:00"/>
    <x v="6"/>
    <s v="Sofa Side Frame (B)"/>
    <n v="1"/>
    <n v="3910"/>
    <n v="3910"/>
    <x v="2"/>
  </r>
  <r>
    <d v="2025-06-05T00:00:00"/>
    <x v="3"/>
    <s v="Dining Chair Frame (A)"/>
    <n v="4"/>
    <n v="700"/>
    <n v="2800"/>
    <x v="1"/>
  </r>
  <r>
    <d v="2025-06-09T00:00:00"/>
    <x v="10"/>
    <s v="Dining Chair Frame (D)"/>
    <n v="2"/>
    <n v="623"/>
    <n v="1246"/>
    <x v="1"/>
  </r>
  <r>
    <d v="2025-06-12T00:00:00"/>
    <x v="5"/>
    <s v="Bed Side Frame (D)"/>
    <n v="1"/>
    <n v="2540"/>
    <n v="2540"/>
    <x v="1"/>
  </r>
  <r>
    <d v="2025-06-12T00:00:00"/>
    <x v="10"/>
    <s v="Dining Chair Frame (D)"/>
    <n v="2"/>
    <n v="623"/>
    <n v="1246"/>
    <x v="1"/>
  </r>
  <r>
    <d v="2025-06-13T00:00:00"/>
    <x v="11"/>
    <s v="Centre Table Frame (A)"/>
    <n v="2"/>
    <n v="730"/>
    <n v="1460"/>
    <x v="1"/>
  </r>
  <r>
    <d v="2025-06-13T00:00:00"/>
    <x v="12"/>
    <s v="Teak Sawn Timber Different Cut Size"/>
    <n v="5"/>
    <n v="1485"/>
    <n v="7425"/>
    <x v="1"/>
  </r>
  <r>
    <d v="2025-06-17T00:00:00"/>
    <x v="13"/>
    <s v="Bed Side Frame (B)"/>
    <n v="1"/>
    <n v="2500"/>
    <n v="2500"/>
    <x v="2"/>
  </r>
  <r>
    <d v="2025-06-18T00:00:00"/>
    <x v="10"/>
    <s v="Dining Chair Frame (D)"/>
    <n v="2"/>
    <n v="623"/>
    <n v="1246"/>
    <x v="1"/>
  </r>
  <r>
    <d v="2025-06-18T00:00:00"/>
    <x v="2"/>
    <s v="Centre Table Frame (C)"/>
    <n v="4"/>
    <n v="970"/>
    <n v="3880"/>
    <x v="1"/>
  </r>
  <r>
    <d v="2025-06-18T00:00:00"/>
    <x v="3"/>
    <s v="Dining Chair Frame (A)"/>
    <n v="1"/>
    <n v="700"/>
    <n v="700"/>
    <x v="2"/>
  </r>
  <r>
    <d v="2025-06-23T00:00:00"/>
    <x v="14"/>
    <s v="Chair Frame (B)"/>
    <n v="2"/>
    <n v="624"/>
    <n v="1248"/>
    <x v="1"/>
  </r>
  <r>
    <d v="2025-06-23T00:00:00"/>
    <x v="15"/>
    <s v="Sofa Side Frame (A)"/>
    <n v="3"/>
    <n v="4310"/>
    <n v="12930"/>
    <x v="1"/>
  </r>
  <r>
    <d v="2025-06-25T00:00:00"/>
    <x v="14"/>
    <s v="Chair Frame (B)"/>
    <n v="2"/>
    <n v="624"/>
    <n v="1248"/>
    <x v="1"/>
  </r>
  <r>
    <d v="2025-06-25T00:00:00"/>
    <x v="6"/>
    <s v="Sofa Side Frame (B)"/>
    <n v="4"/>
    <n v="3910"/>
    <n v="15640"/>
    <x v="1"/>
  </r>
  <r>
    <d v="2025-06-26T00:00:00"/>
    <x v="10"/>
    <s v="Dining Chair Frame (D)"/>
    <n v="1"/>
    <n v="623"/>
    <n v="623"/>
    <x v="2"/>
  </r>
  <r>
    <d v="2025-06-27T00:00:00"/>
    <x v="6"/>
    <s v="Sofa Side Frame (B)"/>
    <n v="1"/>
    <n v="3910"/>
    <n v="3910"/>
    <x v="2"/>
  </r>
  <r>
    <d v="2025-06-27T00:00:00"/>
    <x v="9"/>
    <s v="Sofa Side Frame (E)"/>
    <n v="1"/>
    <n v="6300"/>
    <n v="6300"/>
    <x v="2"/>
  </r>
  <r>
    <d v="2025-06-30T00:00:00"/>
    <x v="12"/>
    <s v="Teak Sawn Timber Different Cut Size"/>
    <n v="2"/>
    <n v="1485"/>
    <n v="2970"/>
    <x v="1"/>
  </r>
  <r>
    <d v="2025-06-30T00:00:00"/>
    <x v="15"/>
    <s v="Sofa Side Frame (A)"/>
    <n v="2"/>
    <n v="4310"/>
    <n v="8620"/>
    <x v="1"/>
  </r>
  <r>
    <d v="2025-07-04T00:00:00"/>
    <x v="6"/>
    <s v="Sofa Side Frame (B)"/>
    <n v="3"/>
    <n v="3910"/>
    <n v="11730"/>
    <x v="1"/>
  </r>
  <r>
    <d v="2025-07-08T00:00:00"/>
    <x v="16"/>
    <s v="Bed Side Frame (A)"/>
    <n v="4"/>
    <n v="1723"/>
    <n v="6892"/>
    <x v="1"/>
  </r>
  <r>
    <d v="2025-07-09T00:00:00"/>
    <x v="7"/>
    <s v="Sofa Side Frame (D)"/>
    <n v="2"/>
    <n v="5800"/>
    <n v="11600"/>
    <x v="1"/>
  </r>
  <r>
    <d v="2025-07-09T00:00:00"/>
    <x v="2"/>
    <s v="Centre Table Frame (C)"/>
    <n v="1"/>
    <n v="970"/>
    <n v="970"/>
    <x v="2"/>
  </r>
  <r>
    <d v="2025-07-09T00:00:00"/>
    <x v="17"/>
    <s v="Chair Frame (A)"/>
    <n v="1"/>
    <n v="990"/>
    <n v="990"/>
    <x v="1"/>
  </r>
  <r>
    <d v="2025-07-10T00:00:00"/>
    <x v="5"/>
    <s v="Bed Side Frame (D)"/>
    <n v="3"/>
    <n v="2540"/>
    <n v="7620"/>
    <x v="1"/>
  </r>
  <r>
    <d v="2025-07-10T00:00:00"/>
    <x v="8"/>
    <s v="Bed Side Frame (F)"/>
    <n v="1"/>
    <n v="1960"/>
    <n v="1960"/>
    <x v="1"/>
  </r>
  <r>
    <d v="2025-07-11T00:00:00"/>
    <x v="7"/>
    <s v="Sofa Side Frame (D)"/>
    <n v="2"/>
    <n v="5800"/>
    <n v="11600"/>
    <x v="0"/>
  </r>
  <r>
    <d v="2025-07-11T00:00:00"/>
    <x v="6"/>
    <s v="Sofa Side Frame (B)"/>
    <n v="4"/>
    <n v="3910"/>
    <n v="15640"/>
    <x v="1"/>
  </r>
  <r>
    <d v="2025-07-12T00:00:00"/>
    <x v="5"/>
    <s v="Bed Side Frame (D)"/>
    <n v="4"/>
    <n v="2540"/>
    <n v="10160"/>
    <x v="1"/>
  </r>
  <r>
    <d v="2025-07-15T00:00:00"/>
    <x v="17"/>
    <s v="Chair Frame (A)"/>
    <n v="3"/>
    <n v="990"/>
    <n v="2970"/>
    <x v="1"/>
  </r>
  <r>
    <d v="2025-07-17T00:00:00"/>
    <x v="18"/>
    <s v="Centre Table Frame (B)"/>
    <n v="1"/>
    <n v="1015"/>
    <n v="1015"/>
    <x v="2"/>
  </r>
  <r>
    <d v="2025-07-17T00:00:00"/>
    <x v="8"/>
    <s v="Bed Side Frame (F)"/>
    <n v="1"/>
    <n v="1960"/>
    <n v="1960"/>
    <x v="2"/>
  </r>
  <r>
    <d v="2025-07-19T00:00:00"/>
    <x v="0"/>
    <s v="Centre Table Side Frame (A)"/>
    <n v="2"/>
    <n v="985"/>
    <n v="1970"/>
    <x v="1"/>
  </r>
  <r>
    <d v="2025-07-22T00:00:00"/>
    <x v="8"/>
    <s v="Bed Side Frame (F)"/>
    <n v="3"/>
    <n v="1960"/>
    <n v="5880"/>
    <x v="1"/>
  </r>
  <r>
    <d v="2025-07-23T00:00:00"/>
    <x v="8"/>
    <s v="Bed Side Frame (F)"/>
    <n v="1"/>
    <n v="1960"/>
    <n v="1960"/>
    <x v="2"/>
  </r>
  <r>
    <d v="2025-07-27T00:00:00"/>
    <x v="6"/>
    <s v="Sofa Side Frame (B)"/>
    <n v="3"/>
    <n v="3910"/>
    <n v="11730"/>
    <x v="1"/>
  </r>
  <r>
    <d v="2025-07-27T00:00:00"/>
    <x v="2"/>
    <s v="Centre Table Frame (C)"/>
    <n v="3"/>
    <n v="970"/>
    <n v="2910"/>
    <x v="1"/>
  </r>
  <r>
    <d v="2025-07-30T00:00:00"/>
    <x v="10"/>
    <s v="Dining Chair Frame (D)"/>
    <n v="3"/>
    <n v="623"/>
    <n v="1869"/>
    <x v="1"/>
  </r>
  <r>
    <d v="2025-07-30T00:00:00"/>
    <x v="18"/>
    <s v="Centre Table Frame (B)"/>
    <n v="2"/>
    <n v="1015"/>
    <n v="2030"/>
    <x v="1"/>
  </r>
  <r>
    <d v="2025-07-31T00:00:00"/>
    <x v="1"/>
    <s v="Dining Chair Frame (B)"/>
    <n v="2"/>
    <n v="660"/>
    <n v="1320"/>
    <x v="0"/>
  </r>
  <r>
    <d v="2025-07-31T00:00:00"/>
    <x v="7"/>
    <s v="Sofa Side Frame (D)"/>
    <n v="1"/>
    <n v="5800"/>
    <n v="5800"/>
    <x v="1"/>
  </r>
  <r>
    <d v="2025-08-03T00:00:00"/>
    <x v="2"/>
    <s v="Centre Table Frame (C)"/>
    <n v="3"/>
    <n v="970"/>
    <n v="2910"/>
    <x v="1"/>
  </r>
  <r>
    <d v="2025-08-03T00:00:00"/>
    <x v="9"/>
    <s v="Sofa Side Frame (E)"/>
    <n v="3"/>
    <n v="6300"/>
    <n v="18900"/>
    <x v="1"/>
  </r>
  <r>
    <d v="2025-08-04T00:00:00"/>
    <x v="17"/>
    <s v="Chair Frame (A)"/>
    <n v="1"/>
    <n v="990"/>
    <n v="990"/>
    <x v="2"/>
  </r>
  <r>
    <d v="2025-08-07T00:00:00"/>
    <x v="15"/>
    <s v="Sofa Side Frame (A)"/>
    <n v="5"/>
    <n v="4310"/>
    <n v="21550"/>
    <x v="1"/>
  </r>
  <r>
    <d v="2025-08-07T00:00:00"/>
    <x v="0"/>
    <s v="Centre Table Side Frame (A)"/>
    <n v="2"/>
    <n v="985"/>
    <n v="1970"/>
    <x v="1"/>
  </r>
  <r>
    <d v="2025-08-08T00:00:00"/>
    <x v="19"/>
    <s v="Sofa Side Frame (C)"/>
    <n v="2"/>
    <n v="4940"/>
    <n v="9880"/>
    <x v="1"/>
  </r>
  <r>
    <d v="2025-08-09T00:00:00"/>
    <x v="7"/>
    <s v="Sofa Side Frame (D)"/>
    <n v="2"/>
    <n v="5800"/>
    <n v="11600"/>
    <x v="1"/>
  </r>
  <r>
    <d v="2025-08-09T00:00:00"/>
    <x v="5"/>
    <s v="Bed Side Frame (D)"/>
    <n v="1"/>
    <n v="2540"/>
    <n v="2540"/>
    <x v="2"/>
  </r>
  <r>
    <d v="2025-08-11T00:00:00"/>
    <x v="0"/>
    <s v="Centre Table Side Frame (A)"/>
    <n v="1"/>
    <n v="985"/>
    <n v="985"/>
    <x v="2"/>
  </r>
  <r>
    <d v="2025-08-12T00:00:00"/>
    <x v="9"/>
    <s v="Sofa Side Frame (E)"/>
    <n v="2"/>
    <n v="6300"/>
    <n v="12600"/>
    <x v="1"/>
  </r>
  <r>
    <d v="2025-08-12T00:00:00"/>
    <x v="19"/>
    <s v="Sofa Side Frame (C)"/>
    <n v="3"/>
    <n v="4940"/>
    <n v="14820"/>
    <x v="1"/>
  </r>
  <r>
    <d v="2025-08-12T00:00:00"/>
    <x v="20"/>
    <s v="Bed Side Frame (C)"/>
    <n v="1"/>
    <n v="1800"/>
    <n v="1800"/>
    <x v="2"/>
  </r>
  <r>
    <d v="2025-08-19T00:00:00"/>
    <x v="20"/>
    <s v="Bed Side Frame (C)"/>
    <n v="4"/>
    <n v="1800"/>
    <n v="7200"/>
    <x v="1"/>
  </r>
  <r>
    <d v="2025-08-19T00:00:00"/>
    <x v="10"/>
    <s v="Dining Chair Frame (D)"/>
    <n v="1"/>
    <n v="623"/>
    <n v="623"/>
    <x v="2"/>
  </r>
  <r>
    <d v="2025-08-20T00:00:00"/>
    <x v="8"/>
    <s v="Bed Side Frame (F)"/>
    <n v="1"/>
    <n v="1960"/>
    <n v="1960"/>
    <x v="2"/>
  </r>
  <r>
    <d v="2025-08-21T00:00:00"/>
    <x v="7"/>
    <s v="Sofa Side Frame (D)"/>
    <n v="3"/>
    <n v="5800"/>
    <n v="17400"/>
    <x v="1"/>
  </r>
  <r>
    <d v="2025-08-22T00:00:00"/>
    <x v="3"/>
    <s v="Dining Chair Frame (A)"/>
    <n v="2"/>
    <n v="700"/>
    <n v="1400"/>
    <x v="0"/>
  </r>
  <r>
    <d v="2025-08-25T00:00:00"/>
    <x v="4"/>
    <s v="Dining Chair Frame (C)"/>
    <n v="3"/>
    <n v="710"/>
    <n v="2130"/>
    <x v="1"/>
  </r>
  <r>
    <d v="2025-08-29T00:00:00"/>
    <x v="1"/>
    <s v="Dining Chair Frame (B)"/>
    <n v="7"/>
    <n v="660"/>
    <n v="4620"/>
    <x v="0"/>
  </r>
  <r>
    <d v="2025-08-29T00:00:00"/>
    <x v="10"/>
    <s v="Dining Chair Frame (D)"/>
    <n v="2"/>
    <n v="623"/>
    <n v="1246"/>
    <x v="1"/>
  </r>
  <r>
    <m/>
    <x v="21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d v="2025-05-02T00:00:00"/>
    <x v="0"/>
    <s v="Centre Table Side Frame (A)"/>
    <n v="1"/>
    <n v="985"/>
    <n v="985"/>
    <x v="0"/>
  </r>
  <r>
    <d v="2025-05-03T00:00:00"/>
    <x v="1"/>
    <s v="Dining Chair Frame (B)"/>
    <n v="2"/>
    <n v="660"/>
    <n v="1320"/>
    <x v="1"/>
  </r>
  <r>
    <d v="2025-05-03T00:00:00"/>
    <x v="2"/>
    <s v="Bed Side Frame (B)"/>
    <n v="1"/>
    <n v="2500"/>
    <n v="2500"/>
    <x v="1"/>
  </r>
  <r>
    <d v="2025-05-05T00:00:00"/>
    <x v="3"/>
    <s v="Bed Side Frame (A)"/>
    <n v="1"/>
    <n v="2923"/>
    <n v="2923"/>
    <x v="1"/>
  </r>
  <r>
    <d v="2025-05-08T00:00:00"/>
    <x v="4"/>
    <s v="Sofa Side Frame (C)"/>
    <n v="2"/>
    <n v="4940"/>
    <n v="9880"/>
    <x v="1"/>
  </r>
  <r>
    <d v="2025-05-10T00:00:00"/>
    <x v="5"/>
    <s v="Dining Chair Frame (A)"/>
    <n v="1"/>
    <n v="700"/>
    <n v="700"/>
    <x v="2"/>
  </r>
  <r>
    <d v="2025-05-18T00:00:00"/>
    <x v="6"/>
    <s v="Dining Chair Frame (C)"/>
    <n v="2"/>
    <n v="710"/>
    <n v="1420"/>
    <x v="1"/>
  </r>
  <r>
    <d v="2025-05-20T00:00:00"/>
    <x v="7"/>
    <s v="Sofa Side Frame (D)"/>
    <n v="3"/>
    <n v="5800"/>
    <n v="17400"/>
    <x v="1"/>
  </r>
  <r>
    <d v="2025-05-23T00:00:00"/>
    <x v="8"/>
    <s v="Sofa Side Frame (E)"/>
    <n v="1"/>
    <n v="6300"/>
    <n v="6300"/>
    <x v="0"/>
  </r>
  <r>
    <d v="2025-05-23T00:00:00"/>
    <x v="9"/>
    <s v="Dining Chair Frame (D)"/>
    <n v="2"/>
    <n v="623"/>
    <n v="1246"/>
    <x v="0"/>
  </r>
  <r>
    <d v="2025-05-25T00:00:00"/>
    <x v="10"/>
    <s v="Centre Table Frame (C)"/>
    <n v="2"/>
    <n v="970"/>
    <n v="1940"/>
    <x v="0"/>
  </r>
  <r>
    <d v="2025-05-31T00:00:00"/>
    <x v="11"/>
    <s v="Sofa Side Frame (B)"/>
    <n v="1"/>
    <n v="3910"/>
    <n v="3910"/>
    <x v="2"/>
  </r>
  <r>
    <d v="2025-06-05T00:00:00"/>
    <x v="5"/>
    <s v="Dining Chair Frame (A)"/>
    <n v="4"/>
    <n v="700"/>
    <n v="2800"/>
    <x v="1"/>
  </r>
  <r>
    <d v="2025-06-09T00:00:00"/>
    <x v="9"/>
    <s v="Dining Chair Frame (D)"/>
    <n v="2"/>
    <n v="623"/>
    <n v="1246"/>
    <x v="1"/>
  </r>
  <r>
    <d v="2025-06-12T00:00:00"/>
    <x v="12"/>
    <s v="Bed Side Frame (D)"/>
    <n v="1"/>
    <n v="2640"/>
    <n v="2640"/>
    <x v="1"/>
  </r>
  <r>
    <d v="2025-06-12T00:00:00"/>
    <x v="9"/>
    <s v="Dining Chair Frame (D)"/>
    <n v="2"/>
    <n v="623"/>
    <n v="1246"/>
    <x v="1"/>
  </r>
  <r>
    <d v="2025-06-13T00:00:00"/>
    <x v="13"/>
    <s v="Centre Table Frame (A)"/>
    <n v="3"/>
    <n v="730"/>
    <n v="2190"/>
    <x v="1"/>
  </r>
  <r>
    <d v="2025-06-13T00:00:00"/>
    <x v="14"/>
    <s v="Teak Sawn Timber Different Cut Size"/>
    <n v="5"/>
    <n v="1485"/>
    <n v="7425"/>
    <x v="1"/>
  </r>
  <r>
    <d v="2025-06-18T00:00:00"/>
    <x v="10"/>
    <s v="Centre Table Frame (C)"/>
    <n v="4"/>
    <n v="970"/>
    <n v="3880"/>
    <x v="1"/>
  </r>
  <r>
    <d v="2025-06-18T00:00:00"/>
    <x v="5"/>
    <s v="Dining Chair Frame (A)"/>
    <n v="1"/>
    <n v="700"/>
    <n v="700"/>
    <x v="2"/>
  </r>
  <r>
    <d v="2025-06-23T00:00:00"/>
    <x v="15"/>
    <s v="Chair Frame (B)"/>
    <n v="2"/>
    <n v="624"/>
    <n v="1248"/>
    <x v="1"/>
  </r>
  <r>
    <d v="2025-06-23T00:00:00"/>
    <x v="16"/>
    <s v="Sofa Side Frame (A)"/>
    <n v="3"/>
    <n v="4310"/>
    <n v="12930"/>
    <x v="1"/>
  </r>
  <r>
    <d v="2025-06-25T00:00:00"/>
    <x v="15"/>
    <s v="Chair Frame (B)"/>
    <n v="2"/>
    <n v="624"/>
    <n v="1248"/>
    <x v="1"/>
  </r>
  <r>
    <d v="2025-06-25T00:00:00"/>
    <x v="11"/>
    <s v="Sofa Side Frame (B)"/>
    <n v="3"/>
    <n v="3910"/>
    <n v="11730"/>
    <x v="1"/>
  </r>
  <r>
    <d v="2025-06-26T00:00:00"/>
    <x v="9"/>
    <s v="Dining Chair Frame (D)"/>
    <n v="1"/>
    <n v="623"/>
    <n v="623"/>
    <x v="2"/>
  </r>
  <r>
    <d v="2025-06-27T00:00:00"/>
    <x v="11"/>
    <s v="Sofa Side Frame (B)"/>
    <n v="1"/>
    <n v="3910"/>
    <n v="3910"/>
    <x v="2"/>
  </r>
  <r>
    <d v="2025-06-27T00:00:00"/>
    <x v="8"/>
    <s v="Sofa Side Frame (E)"/>
    <n v="1"/>
    <n v="6300"/>
    <n v="6300"/>
    <x v="2"/>
  </r>
  <r>
    <d v="2025-06-30T00:00:00"/>
    <x v="14"/>
    <s v="Teak Sawn Timber Different Cut Size"/>
    <n v="2"/>
    <n v="1485"/>
    <n v="2970"/>
    <x v="1"/>
  </r>
  <r>
    <d v="2025-06-30T00:00:00"/>
    <x v="16"/>
    <s v="Sofa Side Frame (A)"/>
    <n v="2"/>
    <n v="4310"/>
    <n v="8620"/>
    <x v="1"/>
  </r>
  <r>
    <d v="2025-07-04T00:00:00"/>
    <x v="11"/>
    <s v="Sofa Side Frame (B)"/>
    <n v="3"/>
    <n v="3910"/>
    <n v="11730"/>
    <x v="1"/>
  </r>
  <r>
    <d v="2025-07-08T00:00:00"/>
    <x v="3"/>
    <s v="Bed Side Frame (A)"/>
    <n v="1"/>
    <n v="2923"/>
    <n v="2923"/>
    <x v="1"/>
  </r>
  <r>
    <d v="2025-07-09T00:00:00"/>
    <x v="7"/>
    <s v="Sofa Side Frame (D)"/>
    <n v="2"/>
    <n v="5800"/>
    <n v="11600"/>
    <x v="1"/>
  </r>
  <r>
    <d v="2025-07-09T00:00:00"/>
    <x v="10"/>
    <s v="Centre Table Frame (C)"/>
    <n v="1"/>
    <n v="970"/>
    <n v="970"/>
    <x v="2"/>
  </r>
  <r>
    <d v="2025-07-09T00:00:00"/>
    <x v="17"/>
    <s v="Chair Frame (A)"/>
    <n v="1"/>
    <n v="990"/>
    <n v="990"/>
    <x v="1"/>
  </r>
  <r>
    <d v="2025-07-10T00:00:00"/>
    <x v="12"/>
    <s v="Bed Side Frame (D)"/>
    <n v="1"/>
    <n v="2640"/>
    <n v="2640"/>
    <x v="1"/>
  </r>
  <r>
    <d v="2025-07-10T00:00:00"/>
    <x v="18"/>
    <s v="Bed Side Frame (F)"/>
    <n v="1"/>
    <n v="3120"/>
    <n v="3120"/>
    <x v="1"/>
  </r>
  <r>
    <d v="2025-07-11T00:00:00"/>
    <x v="7"/>
    <s v="Sofa Side Frame (D)"/>
    <n v="2"/>
    <n v="5800"/>
    <n v="11600"/>
    <x v="0"/>
  </r>
  <r>
    <d v="2025-07-11T00:00:00"/>
    <x v="11"/>
    <s v="Sofa Side Frame (B)"/>
    <n v="3"/>
    <n v="3910"/>
    <n v="11730"/>
    <x v="1"/>
  </r>
  <r>
    <d v="2025-07-12T00:00:00"/>
    <x v="12"/>
    <s v="Bed Side Frame (D)"/>
    <n v="2"/>
    <n v="2640"/>
    <n v="5280"/>
    <x v="1"/>
  </r>
  <r>
    <d v="2025-07-15T00:00:00"/>
    <x v="17"/>
    <s v="Chair Frame (A)"/>
    <n v="3"/>
    <n v="990"/>
    <n v="2970"/>
    <x v="1"/>
  </r>
  <r>
    <d v="2025-07-17T00:00:00"/>
    <x v="19"/>
    <s v="Centre Table Frame (B)"/>
    <n v="4"/>
    <n v="1015"/>
    <n v="4060"/>
    <x v="2"/>
  </r>
  <r>
    <d v="2025-07-17T00:00:00"/>
    <x v="18"/>
    <s v="Bed Side Frame (F)"/>
    <n v="1"/>
    <n v="3120"/>
    <n v="3120"/>
    <x v="2"/>
  </r>
  <r>
    <d v="2025-07-19T00:00:00"/>
    <x v="0"/>
    <s v="Centre Table Side Frame (A)"/>
    <n v="2"/>
    <n v="985"/>
    <n v="1970"/>
    <x v="1"/>
  </r>
  <r>
    <d v="2025-07-22T00:00:00"/>
    <x v="18"/>
    <s v="Bed Side Frame (F)"/>
    <n v="3"/>
    <n v="3120"/>
    <n v="9360"/>
    <x v="1"/>
  </r>
  <r>
    <d v="2025-07-23T00:00:00"/>
    <x v="18"/>
    <s v="Bed Side Frame (F)"/>
    <n v="1"/>
    <n v="3120"/>
    <n v="3120"/>
    <x v="2"/>
  </r>
  <r>
    <d v="2025-07-27T00:00:00"/>
    <x v="11"/>
    <s v="Sofa Side Frame (B)"/>
    <n v="3"/>
    <n v="3910"/>
    <n v="11730"/>
    <x v="1"/>
  </r>
  <r>
    <d v="2025-07-27T00:00:00"/>
    <x v="10"/>
    <s v="Centre Table Frame (C)"/>
    <n v="3"/>
    <n v="970"/>
    <n v="2910"/>
    <x v="1"/>
  </r>
  <r>
    <d v="2025-07-31T00:00:00"/>
    <x v="7"/>
    <s v="Sofa Side Frame (D)"/>
    <n v="1"/>
    <n v="5800"/>
    <n v="5800"/>
    <x v="1"/>
  </r>
  <r>
    <d v="2025-08-03T00:00:00"/>
    <x v="10"/>
    <s v="Centre Table Frame (C)"/>
    <n v="1"/>
    <n v="970"/>
    <n v="970"/>
    <x v="1"/>
  </r>
  <r>
    <d v="2025-08-05T00:00:00"/>
    <x v="17"/>
    <s v="Chair Frame (A)"/>
    <n v="3"/>
    <n v="990"/>
    <n v="2970"/>
    <x v="2"/>
  </r>
  <r>
    <d v="2025-08-07T00:00:00"/>
    <x v="16"/>
    <s v="Sofa Side Frame (A)"/>
    <n v="5"/>
    <n v="4310"/>
    <n v="21550"/>
    <x v="1"/>
  </r>
  <r>
    <d v="2025-08-07T00:00:00"/>
    <x v="0"/>
    <s v="Centre Table Side Frame (A)"/>
    <n v="2"/>
    <n v="985"/>
    <n v="1970"/>
    <x v="1"/>
  </r>
  <r>
    <d v="2025-08-08T00:00:00"/>
    <x v="4"/>
    <s v="Sofa Side Frame (C)"/>
    <n v="2"/>
    <n v="4940"/>
    <n v="9880"/>
    <x v="1"/>
  </r>
  <r>
    <d v="2025-08-09T00:00:00"/>
    <x v="7"/>
    <s v="Sofa Side Frame (D)"/>
    <n v="2"/>
    <n v="5800"/>
    <n v="11600"/>
    <x v="1"/>
  </r>
  <r>
    <d v="2025-08-11T00:00:00"/>
    <x v="0"/>
    <s v="Centre Table Side Frame (A)"/>
    <n v="1"/>
    <n v="985"/>
    <n v="985"/>
    <x v="2"/>
  </r>
  <r>
    <d v="2025-08-12T00:00:00"/>
    <x v="4"/>
    <s v="Sofa Side Frame (C)"/>
    <n v="1"/>
    <n v="4940"/>
    <n v="4940"/>
    <x v="1"/>
  </r>
  <r>
    <d v="2025-08-12T00:00:00"/>
    <x v="20"/>
    <s v="Bed Side Frame (C)"/>
    <n v="1"/>
    <n v="4525"/>
    <n v="4525"/>
    <x v="2"/>
  </r>
  <r>
    <d v="2025-08-17T00:00:00"/>
    <x v="20"/>
    <s v="Bed Side Frame (C)"/>
    <n v="3"/>
    <n v="4525"/>
    <n v="13575"/>
    <x v="1"/>
  </r>
  <r>
    <d v="2025-08-17T00:00:00"/>
    <x v="9"/>
    <s v="Dining Chair Frame (D)"/>
    <n v="1"/>
    <n v="623"/>
    <n v="623"/>
    <x v="2"/>
  </r>
  <r>
    <d v="2025-08-20T00:00:00"/>
    <x v="18"/>
    <s v="Bed Side Frame (F)"/>
    <n v="1"/>
    <n v="3120"/>
    <n v="3120"/>
    <x v="2"/>
  </r>
  <r>
    <d v="2025-08-20T00:00:00"/>
    <x v="19"/>
    <s v="Centre Table Frame (B)"/>
    <n v="2"/>
    <n v="1015"/>
    <n v="2030"/>
    <x v="2"/>
  </r>
  <r>
    <d v="2025-08-25T00:00:00"/>
    <x v="6"/>
    <s v="Dining Chair Frame (C)"/>
    <n v="1"/>
    <n v="710"/>
    <n v="710"/>
    <x v="1"/>
  </r>
  <r>
    <d v="2025-08-29T00:00:00"/>
    <x v="9"/>
    <s v="Dining Chair Frame (D)"/>
    <n v="2"/>
    <n v="623"/>
    <n v="124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5-05-04T00:00:00"/>
    <x v="0"/>
    <s v="Bed Side Frame (A)"/>
    <x v="0"/>
    <n v="2480"/>
    <n v="4960"/>
  </r>
  <r>
    <d v="2025-05-04T00:00:00"/>
    <x v="1"/>
    <s v="Chair Frame (B)"/>
    <x v="1"/>
    <n v="560"/>
    <n v="1680"/>
  </r>
  <r>
    <d v="2025-05-04T00:00:00"/>
    <x v="2"/>
    <s v="Sofa Side Frame (B)"/>
    <x v="2"/>
    <n v="3150"/>
    <n v="12600"/>
  </r>
  <r>
    <d v="2025-05-17T00:00:00"/>
    <x v="3"/>
    <s v="Centre Table Side Frame (A)"/>
    <x v="3"/>
    <n v="890"/>
    <n v="4450"/>
  </r>
  <r>
    <d v="2025-05-17T00:00:00"/>
    <x v="1"/>
    <s v="Chair Frame (B)"/>
    <x v="1"/>
    <n v="560"/>
    <n v="1680"/>
  </r>
  <r>
    <d v="2025-05-17T00:00:00"/>
    <x v="4"/>
    <s v="Centre Table Frame (C)"/>
    <x v="3"/>
    <n v="854"/>
    <n v="4270"/>
  </r>
  <r>
    <d v="2025-05-30T00:00:00"/>
    <x v="5"/>
    <s v="Sofa Side Frame (A)"/>
    <x v="4"/>
    <n v="3375"/>
    <n v="23625"/>
  </r>
  <r>
    <d v="2025-05-30T00:00:00"/>
    <x v="4"/>
    <s v="Centre Table Frame (C)"/>
    <x v="1"/>
    <n v="854"/>
    <n v="2562"/>
  </r>
  <r>
    <d v="2025-05-30T00:00:00"/>
    <x v="6"/>
    <s v="Teak Sawn Timber Different Cut Size"/>
    <x v="3"/>
    <n v="1347"/>
    <n v="6735"/>
  </r>
  <r>
    <d v="2025-06-09T00:00:00"/>
    <x v="2"/>
    <s v="Sofa Side Frame (B)"/>
    <x v="0"/>
    <n v="3150"/>
    <n v="6300"/>
  </r>
  <r>
    <d v="2025-06-09T00:00:00"/>
    <x v="7"/>
    <s v="Sofa Side Frame (D)"/>
    <x v="3"/>
    <n v="4330"/>
    <n v="21650"/>
  </r>
  <r>
    <d v="2025-06-09T00:00:00"/>
    <x v="8"/>
    <s v="Centre Table Frame (A)"/>
    <x v="1"/>
    <n v="657"/>
    <n v="1971"/>
  </r>
  <r>
    <d v="2025-06-09T00:00:00"/>
    <x v="9"/>
    <s v="Bed Side Frame (B)"/>
    <x v="0"/>
    <n v="2050"/>
    <n v="4100"/>
  </r>
  <r>
    <d v="2025-06-17T00:00:00"/>
    <x v="4"/>
    <s v="Centre Table Frame (C)"/>
    <x v="3"/>
    <n v="854"/>
    <n v="4270"/>
  </r>
  <r>
    <d v="2025-06-17T00:00:00"/>
    <x v="2"/>
    <s v="Sofa Side Frame (B)"/>
    <x v="1"/>
    <n v="3150"/>
    <n v="9450"/>
  </r>
  <r>
    <d v="2025-06-17T00:00:00"/>
    <x v="0"/>
    <s v="Bed Side Frame (A)"/>
    <x v="0"/>
    <n v="2480"/>
    <n v="4960"/>
  </r>
  <r>
    <d v="2025-06-17T00:00:00"/>
    <x v="3"/>
    <s v="Centre Table Side Frame (A)"/>
    <x v="1"/>
    <n v="890"/>
    <n v="2670"/>
  </r>
  <r>
    <d v="2025-06-25T00:00:00"/>
    <x v="8"/>
    <s v="Centre Table Frame (A)"/>
    <x v="2"/>
    <n v="657"/>
    <n v="2628"/>
  </r>
  <r>
    <d v="2025-06-25T00:00:00"/>
    <x v="10"/>
    <s v="Bed Side Frame (F)"/>
    <x v="1"/>
    <n v="2720"/>
    <n v="8160"/>
  </r>
  <r>
    <d v="2025-06-25T00:00:00"/>
    <x v="7"/>
    <s v="Sofa Side Frame (D)"/>
    <x v="3"/>
    <n v="4330"/>
    <n v="21650"/>
  </r>
  <r>
    <d v="2025-06-25T00:00:00"/>
    <x v="11"/>
    <s v="Chair Frame (A)"/>
    <x v="3"/>
    <n v="800"/>
    <n v="4000"/>
  </r>
  <r>
    <d v="2025-07-10T00:00:00"/>
    <x v="2"/>
    <s v="Sofa Side Frame (B)"/>
    <x v="1"/>
    <n v="3150"/>
    <n v="9450"/>
  </r>
  <r>
    <d v="2025-07-10T00:00:00"/>
    <x v="12"/>
    <s v="Bed Side Frame (D)"/>
    <x v="5"/>
    <n v="2260"/>
    <n v="13560"/>
  </r>
  <r>
    <d v="2025-07-10T00:00:00"/>
    <x v="13"/>
    <s v="Dining Chair Frame (D)"/>
    <x v="4"/>
    <n v="540"/>
    <n v="3780"/>
  </r>
  <r>
    <d v="2025-07-10T00:00:00"/>
    <x v="3"/>
    <s v="Centre Table Side Frame (A)"/>
    <x v="0"/>
    <n v="890"/>
    <n v="1780"/>
  </r>
  <r>
    <d v="2025-07-28T00:00:00"/>
    <x v="11"/>
    <s v="Chair Frame (A)"/>
    <x v="3"/>
    <n v="800"/>
    <n v="4000"/>
  </r>
  <r>
    <d v="2025-07-28T00:00:00"/>
    <x v="14"/>
    <s v="Sofa Side Frame (C)"/>
    <x v="2"/>
    <n v="3730"/>
    <n v="14920"/>
  </r>
  <r>
    <d v="2025-07-28T00:00:00"/>
    <x v="13"/>
    <s v="Dining Chair Frame (D)"/>
    <x v="3"/>
    <n v="540"/>
    <n v="2700"/>
  </r>
  <r>
    <d v="2025-07-31T00:00:00"/>
    <x v="15"/>
    <s v="Bed Side Frame (C)"/>
    <x v="2"/>
    <n v="3560"/>
    <n v="14240"/>
  </r>
  <r>
    <d v="2025-07-31T00:00:00"/>
    <x v="7"/>
    <s v="Sofa Side Frame (D)"/>
    <x v="1"/>
    <n v="4330"/>
    <n v="12990"/>
  </r>
  <r>
    <d v="2025-07-31T00:00:00"/>
    <x v="16"/>
    <s v="Centre Table Frame (B)"/>
    <x v="1"/>
    <n v="880"/>
    <n v="2640"/>
  </r>
  <r>
    <d v="2025-07-31T00:00:00"/>
    <x v="10"/>
    <s v="Bed Side Frame (F)"/>
    <x v="3"/>
    <n v="2720"/>
    <n v="13600"/>
  </r>
  <r>
    <d v="2025-08-31T00:00:00"/>
    <x v="0"/>
    <s v="Bed Side Frame (A)"/>
    <x v="0"/>
    <n v="2480"/>
    <n v="4960"/>
  </r>
  <r>
    <d v="2025-08-27T00:00:00"/>
    <x v="17"/>
    <s v="Dining Chair Frame (B)"/>
    <x v="1"/>
    <n v="580"/>
    <n v="1740"/>
  </r>
  <r>
    <d v="2025-08-27T00:00:00"/>
    <x v="15"/>
    <s v="Bed Side Frame (C)"/>
    <x v="3"/>
    <n v="3560"/>
    <n v="17800"/>
  </r>
  <r>
    <d v="2025-08-27T00:00:00"/>
    <x v="16"/>
    <s v="Centre Table Frame (B)"/>
    <x v="4"/>
    <n v="880"/>
    <n v="6160"/>
  </r>
  <r>
    <d v="2025-08-27T00:00:00"/>
    <x v="5"/>
    <s v="Sofa Side Frame (A)"/>
    <x v="6"/>
    <n v="3375"/>
    <n v="3375"/>
  </r>
  <r>
    <d v="2025-08-27T00:00:00"/>
    <x v="6"/>
    <s v="Teak Sawn Timber Different Cut Size"/>
    <x v="3"/>
    <n v="1347"/>
    <n v="67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81:D100" firstHeaderRow="1" firstDataRow="1" firstDataCol="1"/>
  <pivotFields count="6">
    <pivotField numFmtId="14" showAll="0"/>
    <pivotField axis="axisRow" showAll="0" sortType="ascending">
      <items count="23">
        <item x="0"/>
        <item x="9"/>
        <item x="15"/>
        <item x="12"/>
        <item x="10"/>
        <item x="11"/>
        <item x="1"/>
        <item x="8"/>
        <item x="16"/>
        <item x="4"/>
        <item x="3"/>
        <item x="17"/>
        <item m="1" x="19"/>
        <item x="13"/>
        <item m="1" x="21"/>
        <item x="5"/>
        <item x="2"/>
        <item x="14"/>
        <item x="7"/>
        <item m="1" x="20"/>
        <item x="6"/>
        <item m="1" x="18"/>
        <item t="default"/>
      </items>
    </pivotField>
    <pivotField showAll="0"/>
    <pivotField showAll="0">
      <items count="8">
        <item x="6"/>
        <item x="0"/>
        <item x="1"/>
        <item x="2"/>
        <item x="3"/>
        <item x="5"/>
        <item x="4"/>
        <item t="default"/>
      </items>
    </pivotField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Items count="1">
    <i/>
  </colItems>
  <dataFields count="1">
    <dataField name="Sum of Total Amount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77796-860D-4405-BBF8-52A39CB7702A}" name="PivotTable3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52:E74" firstHeaderRow="0" firstDataRow="1" firstDataCol="1"/>
  <pivotFields count="7">
    <pivotField numFmtId="14" showAll="0"/>
    <pivotField axis="axisRow" showAll="0">
      <items count="24">
        <item x="3"/>
        <item x="2"/>
        <item x="20"/>
        <item x="12"/>
        <item x="18"/>
        <item m="1" x="21"/>
        <item x="17"/>
        <item x="15"/>
        <item x="13"/>
        <item x="19"/>
        <item x="10"/>
        <item x="0"/>
        <item x="1"/>
        <item x="6"/>
        <item x="9"/>
        <item x="5"/>
        <item f="1" m="1" x="22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90218-6C88-4207-8B21-CAFC2CFB2C5A}" name="PivotTable3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0:C34" firstHeaderRow="1" firstDataRow="1" firstDataCol="1"/>
  <pivotFields count="7">
    <pivotField numFmtId="14" showAll="0"/>
    <pivotField showAll="0">
      <items count="24">
        <item x="3"/>
        <item x="2"/>
        <item x="20"/>
        <item x="12"/>
        <item x="18"/>
        <item m="1" x="21"/>
        <item x="17"/>
        <item x="15"/>
        <item x="13"/>
        <item x="19"/>
        <item x="10"/>
        <item x="0"/>
        <item x="1"/>
        <item x="6"/>
        <item x="9"/>
        <item x="5"/>
        <item x="16"/>
        <item x="11"/>
        <item x="4"/>
        <item x="7"/>
        <item x="8"/>
        <item x="14"/>
        <item f="1" x="22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A6E43-2358-4203-AAB8-2E3A87C7E9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F2:G5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h="1" x="3"/>
        <item h="1" m="1" x="4"/>
        <item h="1"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Amount" fld="5" baseField="0" baseItem="0"/>
  </dataFields>
  <chartFormats count="3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14FB-2EE1-4796-94F3-80771C03CB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">
  <location ref="L31:N53" firstHeaderRow="0" firstDataRow="1" firstDataCol="1"/>
  <pivotFields count="7">
    <pivotField showAll="0"/>
    <pivotField axis="axisRow" showAll="0">
      <items count="23">
        <item x="16"/>
        <item x="13"/>
        <item x="20"/>
        <item x="5"/>
        <item x="8"/>
        <item x="17"/>
        <item x="14"/>
        <item x="11"/>
        <item x="18"/>
        <item x="2"/>
        <item x="0"/>
        <item x="1"/>
        <item x="4"/>
        <item x="10"/>
        <item x="3"/>
        <item x="15"/>
        <item x="6"/>
        <item x="19"/>
        <item x="7"/>
        <item x="9"/>
        <item x="12"/>
        <item h="1" x="21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1B19D-E783-485F-9438-36FA1D3CE2E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49:F72" firstHeaderRow="1" firstDataRow="2" firstDataCol="1"/>
  <pivotFields count="7">
    <pivotField showAll="0"/>
    <pivotField axis="axisRow" showAll="0">
      <items count="23">
        <item x="16"/>
        <item x="13"/>
        <item x="20"/>
        <item x="5"/>
        <item x="8"/>
        <item x="17"/>
        <item x="14"/>
        <item x="11"/>
        <item x="18"/>
        <item x="2"/>
        <item x="0"/>
        <item x="1"/>
        <item x="4"/>
        <item x="10"/>
        <item x="3"/>
        <item x="15"/>
        <item x="6"/>
        <item x="19"/>
        <item x="7"/>
        <item x="9"/>
        <item x="12"/>
        <item x="21"/>
        <item t="default"/>
      </items>
    </pivotField>
    <pivotField showAll="0"/>
    <pivotField showAll="0"/>
    <pivotField showAll="0"/>
    <pivotField dataField="1" showAll="0"/>
    <pivotField axis="axisCol" showAll="0">
      <items count="6">
        <item x="1"/>
        <item x="2"/>
        <item h="1" x="3"/>
        <item h="1" m="1" x="4"/>
        <item h="1" x="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Amount" fld="5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100F9-60BA-4A3E-A3D4-FE60D40AC7C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ow Labels">
  <location ref="D9:F28" firstHeaderRow="0" firstDataRow="1" firstDataCol="1"/>
  <pivotFields count="6">
    <pivotField numFmtId="14" showAll="0"/>
    <pivotField axis="axisRow" showAll="0">
      <items count="23">
        <item x="0"/>
        <item x="9"/>
        <item x="15"/>
        <item x="12"/>
        <item x="10"/>
        <item x="11"/>
        <item x="1"/>
        <item x="8"/>
        <item x="16"/>
        <item x="4"/>
        <item x="3"/>
        <item x="17"/>
        <item m="1" x="19"/>
        <item x="13"/>
        <item m="1" x="21"/>
        <item x="5"/>
        <item x="2"/>
        <item x="14"/>
        <item x="7"/>
        <item m="1" x="20"/>
        <item x="6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Total Amount" fld="5" baseField="0" baseItem="0"/>
  </dataFields>
  <chartFormats count="2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J9" sqref="J9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</row>
    <row r="2" spans="1:6">
      <c r="A2" s="3">
        <v>45781</v>
      </c>
      <c r="B2" t="s">
        <v>19</v>
      </c>
      <c r="C2" t="s">
        <v>20</v>
      </c>
      <c r="D2">
        <v>2</v>
      </c>
      <c r="E2">
        <v>2480</v>
      </c>
      <c r="F2">
        <f>D2*E2</f>
        <v>4960</v>
      </c>
    </row>
    <row r="3" spans="1:6">
      <c r="A3" s="3">
        <v>45781</v>
      </c>
      <c r="B3" t="s">
        <v>21</v>
      </c>
      <c r="C3" t="s">
        <v>21</v>
      </c>
      <c r="D3">
        <v>3</v>
      </c>
      <c r="E3">
        <v>560</v>
      </c>
      <c r="F3">
        <f t="shared" ref="F3:F39" si="0">D3*E3</f>
        <v>1680</v>
      </c>
    </row>
    <row r="4" spans="1:6">
      <c r="A4" s="3">
        <v>45781</v>
      </c>
      <c r="B4" t="s">
        <v>17</v>
      </c>
      <c r="C4" t="s">
        <v>18</v>
      </c>
      <c r="D4">
        <v>4</v>
      </c>
      <c r="E4">
        <v>3150</v>
      </c>
      <c r="F4">
        <f t="shared" si="0"/>
        <v>12600</v>
      </c>
    </row>
    <row r="5" spans="1:6">
      <c r="A5" s="3">
        <v>45794</v>
      </c>
      <c r="B5" t="s">
        <v>26</v>
      </c>
      <c r="C5" t="s">
        <v>27</v>
      </c>
      <c r="D5">
        <v>5</v>
      </c>
      <c r="E5">
        <v>890</v>
      </c>
      <c r="F5">
        <f t="shared" si="0"/>
        <v>4450</v>
      </c>
    </row>
    <row r="6" spans="1:6">
      <c r="A6" s="3">
        <v>45794</v>
      </c>
      <c r="B6" t="s">
        <v>21</v>
      </c>
      <c r="C6" t="s">
        <v>21</v>
      </c>
      <c r="D6">
        <v>3</v>
      </c>
      <c r="E6">
        <v>560</v>
      </c>
      <c r="F6">
        <f t="shared" si="0"/>
        <v>1680</v>
      </c>
    </row>
    <row r="7" spans="1:6">
      <c r="A7" s="3">
        <v>45794</v>
      </c>
      <c r="B7" t="s">
        <v>42</v>
      </c>
      <c r="C7" t="s">
        <v>43</v>
      </c>
      <c r="D7">
        <v>5</v>
      </c>
      <c r="E7">
        <v>854</v>
      </c>
      <c r="F7">
        <f t="shared" si="0"/>
        <v>4270</v>
      </c>
    </row>
    <row r="8" spans="1:6">
      <c r="A8" s="3">
        <v>45807</v>
      </c>
      <c r="B8" t="s">
        <v>24</v>
      </c>
      <c r="C8" t="s">
        <v>25</v>
      </c>
      <c r="D8">
        <v>7</v>
      </c>
      <c r="E8">
        <v>3375</v>
      </c>
      <c r="F8">
        <f t="shared" si="0"/>
        <v>23625</v>
      </c>
    </row>
    <row r="9" spans="1:6">
      <c r="A9" s="3">
        <v>45807</v>
      </c>
      <c r="B9" t="s">
        <v>42</v>
      </c>
      <c r="C9" t="s">
        <v>43</v>
      </c>
      <c r="D9">
        <v>3</v>
      </c>
      <c r="E9">
        <v>854</v>
      </c>
      <c r="F9">
        <f t="shared" si="0"/>
        <v>2562</v>
      </c>
    </row>
    <row r="10" spans="1:6">
      <c r="A10" s="3">
        <v>45807</v>
      </c>
      <c r="B10" t="s">
        <v>36</v>
      </c>
      <c r="C10" t="s">
        <v>37</v>
      </c>
      <c r="D10">
        <v>5</v>
      </c>
      <c r="E10">
        <v>1347</v>
      </c>
      <c r="F10">
        <f t="shared" si="0"/>
        <v>6735</v>
      </c>
    </row>
    <row r="11" spans="1:6">
      <c r="A11" s="3">
        <v>45817</v>
      </c>
      <c r="B11" t="s">
        <v>17</v>
      </c>
      <c r="C11" t="s">
        <v>18</v>
      </c>
      <c r="D11">
        <v>2</v>
      </c>
      <c r="E11">
        <v>3150</v>
      </c>
      <c r="F11">
        <f t="shared" si="0"/>
        <v>6300</v>
      </c>
    </row>
    <row r="12" spans="1:6">
      <c r="A12" s="3">
        <v>45817</v>
      </c>
      <c r="B12" t="s">
        <v>15</v>
      </c>
      <c r="C12" t="s">
        <v>16</v>
      </c>
      <c r="D12">
        <v>5</v>
      </c>
      <c r="E12">
        <v>4330</v>
      </c>
      <c r="F12">
        <f t="shared" si="0"/>
        <v>21650</v>
      </c>
    </row>
    <row r="13" spans="1:6">
      <c r="A13" s="3">
        <v>45817</v>
      </c>
      <c r="B13" t="s">
        <v>28</v>
      </c>
      <c r="C13" t="s">
        <v>29</v>
      </c>
      <c r="D13">
        <v>3</v>
      </c>
      <c r="E13">
        <v>657</v>
      </c>
      <c r="F13">
        <f t="shared" si="0"/>
        <v>1971</v>
      </c>
    </row>
    <row r="14" spans="1:6">
      <c r="A14" s="3">
        <v>45817</v>
      </c>
      <c r="B14" t="s">
        <v>30</v>
      </c>
      <c r="C14" t="s">
        <v>31</v>
      </c>
      <c r="D14">
        <v>2</v>
      </c>
      <c r="E14">
        <v>2050</v>
      </c>
      <c r="F14">
        <f t="shared" si="0"/>
        <v>4100</v>
      </c>
    </row>
    <row r="15" spans="1:6">
      <c r="A15" s="3">
        <v>45825</v>
      </c>
      <c r="B15" t="s">
        <v>42</v>
      </c>
      <c r="C15" t="s">
        <v>43</v>
      </c>
      <c r="D15">
        <v>5</v>
      </c>
      <c r="E15">
        <v>854</v>
      </c>
      <c r="F15">
        <f t="shared" si="0"/>
        <v>4270</v>
      </c>
    </row>
    <row r="16" spans="1:6">
      <c r="A16" s="3">
        <v>45825</v>
      </c>
      <c r="B16" t="s">
        <v>17</v>
      </c>
      <c r="C16" t="s">
        <v>18</v>
      </c>
      <c r="D16">
        <v>3</v>
      </c>
      <c r="E16">
        <v>3150</v>
      </c>
      <c r="F16">
        <f t="shared" si="0"/>
        <v>9450</v>
      </c>
    </row>
    <row r="17" spans="1:6">
      <c r="A17" s="3">
        <v>45825</v>
      </c>
      <c r="B17" t="s">
        <v>19</v>
      </c>
      <c r="C17" t="s">
        <v>20</v>
      </c>
      <c r="D17">
        <v>2</v>
      </c>
      <c r="E17">
        <v>2480</v>
      </c>
      <c r="F17">
        <f t="shared" si="0"/>
        <v>4960</v>
      </c>
    </row>
    <row r="18" spans="1:6">
      <c r="A18" s="3">
        <v>45825</v>
      </c>
      <c r="B18" t="s">
        <v>26</v>
      </c>
      <c r="C18" t="s">
        <v>27</v>
      </c>
      <c r="D18">
        <v>3</v>
      </c>
      <c r="E18">
        <v>890</v>
      </c>
      <c r="F18">
        <f t="shared" si="0"/>
        <v>2670</v>
      </c>
    </row>
    <row r="19" spans="1:6">
      <c r="A19" s="3">
        <v>45833</v>
      </c>
      <c r="B19" t="s">
        <v>28</v>
      </c>
      <c r="C19" t="s">
        <v>29</v>
      </c>
      <c r="D19">
        <v>4</v>
      </c>
      <c r="E19">
        <v>657</v>
      </c>
      <c r="F19">
        <f t="shared" si="0"/>
        <v>2628</v>
      </c>
    </row>
    <row r="20" spans="1:6">
      <c r="A20" s="3">
        <v>45833</v>
      </c>
      <c r="B20" t="s">
        <v>9</v>
      </c>
      <c r="C20" t="s">
        <v>10</v>
      </c>
      <c r="D20">
        <v>3</v>
      </c>
      <c r="E20">
        <v>2720</v>
      </c>
      <c r="F20">
        <f t="shared" si="0"/>
        <v>8160</v>
      </c>
    </row>
    <row r="21" spans="1:6">
      <c r="A21" s="3">
        <v>45833</v>
      </c>
      <c r="B21" t="s">
        <v>15</v>
      </c>
      <c r="C21" t="s">
        <v>16</v>
      </c>
      <c r="D21">
        <v>5</v>
      </c>
      <c r="E21">
        <v>4330</v>
      </c>
      <c r="F21">
        <f t="shared" si="0"/>
        <v>21650</v>
      </c>
    </row>
    <row r="22" spans="1:6">
      <c r="A22" s="3">
        <v>45833</v>
      </c>
      <c r="B22" t="s">
        <v>39</v>
      </c>
      <c r="C22" t="s">
        <v>39</v>
      </c>
      <c r="D22">
        <v>5</v>
      </c>
      <c r="E22">
        <v>800</v>
      </c>
      <c r="F22">
        <f t="shared" si="0"/>
        <v>4000</v>
      </c>
    </row>
    <row r="23" spans="1:6">
      <c r="A23" s="3">
        <v>45848</v>
      </c>
      <c r="B23" t="s">
        <v>17</v>
      </c>
      <c r="C23" t="s">
        <v>18</v>
      </c>
      <c r="D23">
        <v>3</v>
      </c>
      <c r="E23">
        <v>3150</v>
      </c>
      <c r="F23">
        <f t="shared" si="0"/>
        <v>9450</v>
      </c>
    </row>
    <row r="24" spans="1:6">
      <c r="A24" s="3">
        <v>45848</v>
      </c>
      <c r="B24" t="s">
        <v>32</v>
      </c>
      <c r="C24" t="s">
        <v>33</v>
      </c>
      <c r="D24">
        <v>6</v>
      </c>
      <c r="E24">
        <v>2260</v>
      </c>
      <c r="F24">
        <f t="shared" si="0"/>
        <v>13560</v>
      </c>
    </row>
    <row r="25" spans="1:6">
      <c r="A25" s="3">
        <v>45848</v>
      </c>
      <c r="B25" t="s">
        <v>34</v>
      </c>
      <c r="C25" t="s">
        <v>35</v>
      </c>
      <c r="D25">
        <v>7</v>
      </c>
      <c r="E25">
        <v>540</v>
      </c>
      <c r="F25">
        <f t="shared" si="0"/>
        <v>3780</v>
      </c>
    </row>
    <row r="26" spans="1:6">
      <c r="A26" s="3">
        <v>45848</v>
      </c>
      <c r="B26" t="s">
        <v>26</v>
      </c>
      <c r="C26" t="s">
        <v>27</v>
      </c>
      <c r="D26">
        <v>2</v>
      </c>
      <c r="E26">
        <v>890</v>
      </c>
      <c r="F26">
        <f t="shared" si="0"/>
        <v>1780</v>
      </c>
    </row>
    <row r="27" spans="1:6">
      <c r="A27" s="3">
        <v>45866</v>
      </c>
      <c r="B27" t="s">
        <v>39</v>
      </c>
      <c r="C27" t="s">
        <v>39</v>
      </c>
      <c r="D27">
        <v>5</v>
      </c>
      <c r="E27">
        <v>800</v>
      </c>
      <c r="F27">
        <f t="shared" si="0"/>
        <v>4000</v>
      </c>
    </row>
    <row r="28" spans="1:6">
      <c r="A28" s="3">
        <v>45866</v>
      </c>
      <c r="B28" t="s">
        <v>11</v>
      </c>
      <c r="C28" t="s">
        <v>12</v>
      </c>
      <c r="D28">
        <v>4</v>
      </c>
      <c r="E28">
        <v>3730</v>
      </c>
      <c r="F28">
        <f t="shared" si="0"/>
        <v>14920</v>
      </c>
    </row>
    <row r="29" spans="1:6">
      <c r="A29" s="3">
        <v>45866</v>
      </c>
      <c r="B29" t="s">
        <v>34</v>
      </c>
      <c r="C29" t="s">
        <v>35</v>
      </c>
      <c r="D29">
        <v>5</v>
      </c>
      <c r="E29">
        <v>540</v>
      </c>
      <c r="F29">
        <f t="shared" si="0"/>
        <v>2700</v>
      </c>
    </row>
    <row r="30" spans="1:6">
      <c r="A30" s="3">
        <v>45869</v>
      </c>
      <c r="B30" t="s">
        <v>22</v>
      </c>
      <c r="C30" t="s">
        <v>23</v>
      </c>
      <c r="D30">
        <v>4</v>
      </c>
      <c r="E30">
        <v>3560</v>
      </c>
      <c r="F30">
        <f t="shared" si="0"/>
        <v>14240</v>
      </c>
    </row>
    <row r="31" spans="1:6">
      <c r="A31" s="3">
        <v>45869</v>
      </c>
      <c r="B31" t="s">
        <v>15</v>
      </c>
      <c r="C31" t="s">
        <v>16</v>
      </c>
      <c r="D31">
        <v>3</v>
      </c>
      <c r="E31">
        <v>4330</v>
      </c>
      <c r="F31">
        <f t="shared" si="0"/>
        <v>12990</v>
      </c>
    </row>
    <row r="32" spans="1:6">
      <c r="A32" s="3">
        <v>45869</v>
      </c>
      <c r="B32" t="s">
        <v>13</v>
      </c>
      <c r="C32" t="s">
        <v>14</v>
      </c>
      <c r="D32">
        <v>3</v>
      </c>
      <c r="E32">
        <v>880</v>
      </c>
      <c r="F32">
        <f t="shared" si="0"/>
        <v>2640</v>
      </c>
    </row>
    <row r="33" spans="1:6">
      <c r="A33" s="3">
        <v>45869</v>
      </c>
      <c r="B33" t="s">
        <v>9</v>
      </c>
      <c r="C33" t="s">
        <v>10</v>
      </c>
      <c r="D33">
        <v>5</v>
      </c>
      <c r="E33">
        <v>2720</v>
      </c>
      <c r="F33">
        <f t="shared" si="0"/>
        <v>13600</v>
      </c>
    </row>
    <row r="34" spans="1:6">
      <c r="A34" s="3">
        <v>45900</v>
      </c>
      <c r="B34" t="s">
        <v>19</v>
      </c>
      <c r="C34" t="s">
        <v>20</v>
      </c>
      <c r="D34">
        <v>2</v>
      </c>
      <c r="E34">
        <v>2480</v>
      </c>
      <c r="F34">
        <f t="shared" si="0"/>
        <v>4960</v>
      </c>
    </row>
    <row r="35" spans="1:6">
      <c r="A35" s="3">
        <v>45896</v>
      </c>
      <c r="B35" t="s">
        <v>40</v>
      </c>
      <c r="C35" t="s">
        <v>41</v>
      </c>
      <c r="D35">
        <v>3</v>
      </c>
      <c r="E35">
        <v>580</v>
      </c>
      <c r="F35">
        <f t="shared" si="0"/>
        <v>1740</v>
      </c>
    </row>
    <row r="36" spans="1:6">
      <c r="A36" s="3">
        <v>45896</v>
      </c>
      <c r="B36" t="s">
        <v>22</v>
      </c>
      <c r="C36" t="s">
        <v>23</v>
      </c>
      <c r="D36">
        <v>5</v>
      </c>
      <c r="E36">
        <v>3560</v>
      </c>
      <c r="F36">
        <f t="shared" si="0"/>
        <v>17800</v>
      </c>
    </row>
    <row r="37" spans="1:6">
      <c r="A37" s="3">
        <v>45896</v>
      </c>
      <c r="B37" t="s">
        <v>13</v>
      </c>
      <c r="C37" t="s">
        <v>14</v>
      </c>
      <c r="D37">
        <v>7</v>
      </c>
      <c r="E37">
        <v>880</v>
      </c>
      <c r="F37">
        <f t="shared" si="0"/>
        <v>6160</v>
      </c>
    </row>
    <row r="38" spans="1:6">
      <c r="A38" s="3">
        <v>45896</v>
      </c>
      <c r="B38" t="s">
        <v>24</v>
      </c>
      <c r="C38" t="s">
        <v>25</v>
      </c>
      <c r="D38">
        <v>1</v>
      </c>
      <c r="E38">
        <v>3375</v>
      </c>
      <c r="F38">
        <f t="shared" si="0"/>
        <v>3375</v>
      </c>
    </row>
    <row r="39" spans="1:6">
      <c r="A39" s="3">
        <v>45896</v>
      </c>
      <c r="B39" t="s">
        <v>36</v>
      </c>
      <c r="C39" t="s">
        <v>37</v>
      </c>
      <c r="D39">
        <v>5</v>
      </c>
      <c r="E39">
        <v>1347</v>
      </c>
      <c r="F39">
        <f t="shared" si="0"/>
        <v>6735</v>
      </c>
    </row>
  </sheetData>
  <sortState xmlns:xlrd2="http://schemas.microsoft.com/office/spreadsheetml/2017/richdata2" ref="I3:N40">
    <sortCondition ref="J3:J4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workbookViewId="0">
      <selection activeCell="J19" sqref="J19"/>
    </sheetView>
  </sheetViews>
  <sheetFormatPr defaultRowHeight="14.4"/>
  <cols>
    <col min="1" max="1" width="10.33203125" style="3" bestFit="1" customWidth="1"/>
    <col min="3" max="3" width="30.88671875" bestFit="1" customWidth="1"/>
    <col min="5" max="5" width="5" bestFit="1" customWidth="1"/>
    <col min="6" max="6" width="12.5546875" bestFit="1" customWidth="1"/>
    <col min="7" max="7" width="9.109375" bestFit="1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66</v>
      </c>
      <c r="E1" s="1" t="s">
        <v>3</v>
      </c>
      <c r="F1" s="1" t="s">
        <v>4</v>
      </c>
      <c r="G1" s="9" t="s">
        <v>56</v>
      </c>
    </row>
    <row r="2" spans="1:8">
      <c r="A2" s="3">
        <v>45779</v>
      </c>
      <c r="B2" t="s">
        <v>26</v>
      </c>
      <c r="C2" t="s">
        <v>27</v>
      </c>
      <c r="D2">
        <v>1</v>
      </c>
      <c r="E2">
        <v>985</v>
      </c>
      <c r="F2">
        <f t="shared" ref="F2:F33" si="0">E2*D2</f>
        <v>985</v>
      </c>
      <c r="G2" t="s">
        <v>68</v>
      </c>
    </row>
    <row r="3" spans="1:8">
      <c r="A3" s="3">
        <v>45780</v>
      </c>
      <c r="B3" t="s">
        <v>40</v>
      </c>
      <c r="C3" t="s">
        <v>41</v>
      </c>
      <c r="D3">
        <v>2</v>
      </c>
      <c r="E3">
        <v>660</v>
      </c>
      <c r="F3">
        <f t="shared" si="0"/>
        <v>1320</v>
      </c>
      <c r="G3" t="s">
        <v>53</v>
      </c>
    </row>
    <row r="4" spans="1:8">
      <c r="A4" s="3">
        <v>45780</v>
      </c>
      <c r="B4" t="s">
        <v>30</v>
      </c>
      <c r="C4" t="s">
        <v>31</v>
      </c>
      <c r="D4">
        <v>1</v>
      </c>
      <c r="E4">
        <v>2500</v>
      </c>
      <c r="F4">
        <f t="shared" si="0"/>
        <v>2500</v>
      </c>
      <c r="G4" t="s">
        <v>53</v>
      </c>
    </row>
    <row r="5" spans="1:8">
      <c r="A5" s="3">
        <v>45782</v>
      </c>
      <c r="B5" t="s">
        <v>19</v>
      </c>
      <c r="C5" t="s">
        <v>20</v>
      </c>
      <c r="D5">
        <v>1</v>
      </c>
      <c r="E5">
        <v>2923</v>
      </c>
      <c r="F5">
        <f t="shared" si="0"/>
        <v>2923</v>
      </c>
      <c r="G5" t="s">
        <v>53</v>
      </c>
    </row>
    <row r="6" spans="1:8">
      <c r="A6" s="3">
        <v>45785</v>
      </c>
      <c r="B6" t="s">
        <v>11</v>
      </c>
      <c r="C6" t="s">
        <v>12</v>
      </c>
      <c r="D6">
        <v>2</v>
      </c>
      <c r="E6">
        <v>4940</v>
      </c>
      <c r="F6">
        <f t="shared" si="0"/>
        <v>9880</v>
      </c>
      <c r="G6" t="s">
        <v>53</v>
      </c>
    </row>
    <row r="7" spans="1:8">
      <c r="A7" s="3">
        <v>45787</v>
      </c>
      <c r="B7" t="s">
        <v>38</v>
      </c>
      <c r="C7" t="s">
        <v>38</v>
      </c>
      <c r="D7">
        <v>1</v>
      </c>
      <c r="E7">
        <v>700</v>
      </c>
      <c r="F7">
        <f t="shared" si="0"/>
        <v>700</v>
      </c>
      <c r="G7" t="s">
        <v>54</v>
      </c>
    </row>
    <row r="8" spans="1:8">
      <c r="A8" s="3">
        <v>45795</v>
      </c>
      <c r="B8" t="s">
        <v>7</v>
      </c>
      <c r="C8" t="s">
        <v>8</v>
      </c>
      <c r="D8">
        <v>2</v>
      </c>
      <c r="E8">
        <v>710</v>
      </c>
      <c r="F8">
        <f t="shared" si="0"/>
        <v>1420</v>
      </c>
      <c r="G8" t="s">
        <v>53</v>
      </c>
    </row>
    <row r="9" spans="1:8">
      <c r="A9" s="3">
        <v>45797</v>
      </c>
      <c r="B9" t="s">
        <v>15</v>
      </c>
      <c r="C9" t="s">
        <v>16</v>
      </c>
      <c r="D9">
        <v>3</v>
      </c>
      <c r="E9">
        <v>5800</v>
      </c>
      <c r="F9">
        <f t="shared" si="0"/>
        <v>17400</v>
      </c>
      <c r="G9" t="s">
        <v>53</v>
      </c>
    </row>
    <row r="10" spans="1:8">
      <c r="A10" s="3">
        <v>45800</v>
      </c>
      <c r="B10" t="s">
        <v>5</v>
      </c>
      <c r="C10" t="s">
        <v>6</v>
      </c>
      <c r="D10">
        <v>1</v>
      </c>
      <c r="E10">
        <v>6300</v>
      </c>
      <c r="F10">
        <f t="shared" si="0"/>
        <v>6300</v>
      </c>
      <c r="G10" t="s">
        <v>68</v>
      </c>
      <c r="H10" t="s">
        <v>55</v>
      </c>
    </row>
    <row r="11" spans="1:8">
      <c r="A11" s="3">
        <v>45800</v>
      </c>
      <c r="B11" t="s">
        <v>34</v>
      </c>
      <c r="C11" t="s">
        <v>35</v>
      </c>
      <c r="D11">
        <v>2</v>
      </c>
      <c r="E11">
        <v>623</v>
      </c>
      <c r="F11">
        <f t="shared" si="0"/>
        <v>1246</v>
      </c>
      <c r="G11" t="s">
        <v>68</v>
      </c>
    </row>
    <row r="12" spans="1:8">
      <c r="A12" s="3">
        <v>45802</v>
      </c>
      <c r="B12" t="s">
        <v>42</v>
      </c>
      <c r="C12" t="s">
        <v>43</v>
      </c>
      <c r="D12">
        <v>2</v>
      </c>
      <c r="E12">
        <v>970</v>
      </c>
      <c r="F12">
        <f t="shared" si="0"/>
        <v>1940</v>
      </c>
      <c r="G12" t="s">
        <v>68</v>
      </c>
    </row>
    <row r="13" spans="1:8">
      <c r="A13" s="3">
        <v>45808</v>
      </c>
      <c r="B13" t="s">
        <v>17</v>
      </c>
      <c r="C13" t="s">
        <v>18</v>
      </c>
      <c r="D13">
        <v>1</v>
      </c>
      <c r="E13">
        <v>3910</v>
      </c>
      <c r="F13">
        <f t="shared" si="0"/>
        <v>3910</v>
      </c>
      <c r="G13" t="s">
        <v>54</v>
      </c>
    </row>
    <row r="14" spans="1:8">
      <c r="A14" s="3">
        <v>45813</v>
      </c>
      <c r="B14" t="s">
        <v>38</v>
      </c>
      <c r="C14" t="s">
        <v>38</v>
      </c>
      <c r="D14">
        <v>4</v>
      </c>
      <c r="E14">
        <v>700</v>
      </c>
      <c r="F14">
        <f t="shared" si="0"/>
        <v>2800</v>
      </c>
      <c r="G14" t="s">
        <v>53</v>
      </c>
    </row>
    <row r="15" spans="1:8">
      <c r="A15" s="3">
        <v>45817</v>
      </c>
      <c r="B15" t="s">
        <v>34</v>
      </c>
      <c r="C15" t="s">
        <v>35</v>
      </c>
      <c r="D15">
        <v>2</v>
      </c>
      <c r="E15">
        <v>623</v>
      </c>
      <c r="F15">
        <f t="shared" si="0"/>
        <v>1246</v>
      </c>
      <c r="G15" t="s">
        <v>53</v>
      </c>
    </row>
    <row r="16" spans="1:8">
      <c r="A16" s="3">
        <v>45820</v>
      </c>
      <c r="B16" t="s">
        <v>32</v>
      </c>
      <c r="C16" t="s">
        <v>33</v>
      </c>
      <c r="D16">
        <v>1</v>
      </c>
      <c r="E16">
        <v>2640</v>
      </c>
      <c r="F16">
        <f t="shared" si="0"/>
        <v>2640</v>
      </c>
      <c r="G16" t="s">
        <v>53</v>
      </c>
    </row>
    <row r="17" spans="1:7">
      <c r="A17" s="3">
        <v>45820</v>
      </c>
      <c r="B17" t="s">
        <v>34</v>
      </c>
      <c r="C17" t="s">
        <v>35</v>
      </c>
      <c r="D17">
        <v>2</v>
      </c>
      <c r="E17">
        <v>623</v>
      </c>
      <c r="F17">
        <f t="shared" si="0"/>
        <v>1246</v>
      </c>
      <c r="G17" t="s">
        <v>53</v>
      </c>
    </row>
    <row r="18" spans="1:7">
      <c r="A18" s="3">
        <v>45821</v>
      </c>
      <c r="B18" t="s">
        <v>28</v>
      </c>
      <c r="C18" t="s">
        <v>29</v>
      </c>
      <c r="D18">
        <v>3</v>
      </c>
      <c r="E18">
        <v>730</v>
      </c>
      <c r="F18">
        <f t="shared" si="0"/>
        <v>2190</v>
      </c>
      <c r="G18" t="s">
        <v>53</v>
      </c>
    </row>
    <row r="19" spans="1:7">
      <c r="A19" s="3">
        <v>45821</v>
      </c>
      <c r="B19" t="s">
        <v>36</v>
      </c>
      <c r="C19" t="s">
        <v>37</v>
      </c>
      <c r="D19">
        <v>5</v>
      </c>
      <c r="E19">
        <v>1485</v>
      </c>
      <c r="F19">
        <f t="shared" si="0"/>
        <v>7425</v>
      </c>
      <c r="G19" t="s">
        <v>53</v>
      </c>
    </row>
    <row r="20" spans="1:7">
      <c r="A20" s="3">
        <v>45826</v>
      </c>
      <c r="B20" t="s">
        <v>42</v>
      </c>
      <c r="C20" t="s">
        <v>43</v>
      </c>
      <c r="D20">
        <v>4</v>
      </c>
      <c r="E20">
        <v>970</v>
      </c>
      <c r="F20">
        <f t="shared" si="0"/>
        <v>3880</v>
      </c>
      <c r="G20" t="s">
        <v>53</v>
      </c>
    </row>
    <row r="21" spans="1:7">
      <c r="A21" s="3">
        <v>45826</v>
      </c>
      <c r="B21" t="s">
        <v>38</v>
      </c>
      <c r="C21" t="s">
        <v>38</v>
      </c>
      <c r="D21">
        <v>1</v>
      </c>
      <c r="E21">
        <v>700</v>
      </c>
      <c r="F21">
        <f t="shared" si="0"/>
        <v>700</v>
      </c>
      <c r="G21" t="s">
        <v>54</v>
      </c>
    </row>
    <row r="22" spans="1:7">
      <c r="A22" s="3">
        <v>45831</v>
      </c>
      <c r="B22" t="s">
        <v>21</v>
      </c>
      <c r="C22" t="s">
        <v>21</v>
      </c>
      <c r="D22">
        <v>2</v>
      </c>
      <c r="E22">
        <v>624</v>
      </c>
      <c r="F22">
        <f t="shared" si="0"/>
        <v>1248</v>
      </c>
      <c r="G22" t="s">
        <v>53</v>
      </c>
    </row>
    <row r="23" spans="1:7">
      <c r="A23" s="3">
        <v>45831</v>
      </c>
      <c r="B23" t="s">
        <v>24</v>
      </c>
      <c r="C23" t="s">
        <v>25</v>
      </c>
      <c r="D23">
        <v>3</v>
      </c>
      <c r="E23">
        <v>4310</v>
      </c>
      <c r="F23">
        <f t="shared" si="0"/>
        <v>12930</v>
      </c>
      <c r="G23" t="s">
        <v>53</v>
      </c>
    </row>
    <row r="24" spans="1:7">
      <c r="A24" s="3">
        <v>45833</v>
      </c>
      <c r="B24" t="s">
        <v>21</v>
      </c>
      <c r="C24" t="s">
        <v>21</v>
      </c>
      <c r="D24">
        <v>2</v>
      </c>
      <c r="E24">
        <v>624</v>
      </c>
      <c r="F24">
        <f t="shared" si="0"/>
        <v>1248</v>
      </c>
      <c r="G24" t="s">
        <v>53</v>
      </c>
    </row>
    <row r="25" spans="1:7">
      <c r="A25" s="3">
        <v>45833</v>
      </c>
      <c r="B25" t="s">
        <v>17</v>
      </c>
      <c r="C25" t="s">
        <v>18</v>
      </c>
      <c r="D25">
        <v>3</v>
      </c>
      <c r="E25">
        <v>3910</v>
      </c>
      <c r="F25">
        <f t="shared" si="0"/>
        <v>11730</v>
      </c>
      <c r="G25" t="s">
        <v>53</v>
      </c>
    </row>
    <row r="26" spans="1:7">
      <c r="A26" s="3">
        <v>45834</v>
      </c>
      <c r="B26" t="s">
        <v>34</v>
      </c>
      <c r="C26" t="s">
        <v>35</v>
      </c>
      <c r="D26">
        <v>1</v>
      </c>
      <c r="E26">
        <v>623</v>
      </c>
      <c r="F26">
        <f t="shared" si="0"/>
        <v>623</v>
      </c>
      <c r="G26" t="s">
        <v>54</v>
      </c>
    </row>
    <row r="27" spans="1:7">
      <c r="A27" s="3">
        <v>45835</v>
      </c>
      <c r="B27" t="s">
        <v>17</v>
      </c>
      <c r="C27" t="s">
        <v>18</v>
      </c>
      <c r="D27">
        <v>1</v>
      </c>
      <c r="E27">
        <v>3910</v>
      </c>
      <c r="F27">
        <f t="shared" si="0"/>
        <v>3910</v>
      </c>
      <c r="G27" t="s">
        <v>54</v>
      </c>
    </row>
    <row r="28" spans="1:7">
      <c r="A28" s="3">
        <v>45835</v>
      </c>
      <c r="B28" t="s">
        <v>5</v>
      </c>
      <c r="C28" t="s">
        <v>6</v>
      </c>
      <c r="D28">
        <v>1</v>
      </c>
      <c r="E28">
        <v>6300</v>
      </c>
      <c r="F28">
        <f t="shared" si="0"/>
        <v>6300</v>
      </c>
      <c r="G28" t="s">
        <v>54</v>
      </c>
    </row>
    <row r="29" spans="1:7">
      <c r="A29" s="3">
        <v>45838</v>
      </c>
      <c r="B29" t="s">
        <v>36</v>
      </c>
      <c r="C29" t="s">
        <v>37</v>
      </c>
      <c r="D29">
        <v>2</v>
      </c>
      <c r="E29">
        <v>1485</v>
      </c>
      <c r="F29">
        <f t="shared" si="0"/>
        <v>2970</v>
      </c>
      <c r="G29" t="s">
        <v>53</v>
      </c>
    </row>
    <row r="30" spans="1:7">
      <c r="A30" s="3">
        <v>45838</v>
      </c>
      <c r="B30" t="s">
        <v>24</v>
      </c>
      <c r="C30" t="s">
        <v>25</v>
      </c>
      <c r="D30">
        <v>2</v>
      </c>
      <c r="E30">
        <v>4310</v>
      </c>
      <c r="F30">
        <f t="shared" si="0"/>
        <v>8620</v>
      </c>
      <c r="G30" t="s">
        <v>53</v>
      </c>
    </row>
    <row r="31" spans="1:7">
      <c r="A31" s="3">
        <v>45842</v>
      </c>
      <c r="B31" t="s">
        <v>17</v>
      </c>
      <c r="C31" t="s">
        <v>18</v>
      </c>
      <c r="D31">
        <v>3</v>
      </c>
      <c r="E31">
        <v>3910</v>
      </c>
      <c r="F31">
        <f t="shared" si="0"/>
        <v>11730</v>
      </c>
      <c r="G31" t="s">
        <v>53</v>
      </c>
    </row>
    <row r="32" spans="1:7">
      <c r="A32" s="3">
        <v>45846</v>
      </c>
      <c r="B32" t="s">
        <v>19</v>
      </c>
      <c r="C32" t="s">
        <v>20</v>
      </c>
      <c r="D32">
        <v>1</v>
      </c>
      <c r="E32">
        <v>2923</v>
      </c>
      <c r="F32">
        <f t="shared" si="0"/>
        <v>2923</v>
      </c>
      <c r="G32" t="s">
        <v>53</v>
      </c>
    </row>
    <row r="33" spans="1:7">
      <c r="A33" s="3">
        <v>45847</v>
      </c>
      <c r="B33" t="s">
        <v>15</v>
      </c>
      <c r="C33" t="s">
        <v>16</v>
      </c>
      <c r="D33">
        <v>2</v>
      </c>
      <c r="E33">
        <v>5800</v>
      </c>
      <c r="F33">
        <f t="shared" si="0"/>
        <v>11600</v>
      </c>
      <c r="G33" t="s">
        <v>53</v>
      </c>
    </row>
    <row r="34" spans="1:7">
      <c r="A34" s="3">
        <v>45847</v>
      </c>
      <c r="B34" t="s">
        <v>42</v>
      </c>
      <c r="C34" t="s">
        <v>43</v>
      </c>
      <c r="D34">
        <v>1</v>
      </c>
      <c r="E34">
        <v>970</v>
      </c>
      <c r="F34">
        <f t="shared" ref="F34:F64" si="1">E34*D34</f>
        <v>970</v>
      </c>
      <c r="G34" t="s">
        <v>54</v>
      </c>
    </row>
    <row r="35" spans="1:7">
      <c r="A35" s="3">
        <v>45847</v>
      </c>
      <c r="B35" t="s">
        <v>39</v>
      </c>
      <c r="C35" t="s">
        <v>39</v>
      </c>
      <c r="D35">
        <v>1</v>
      </c>
      <c r="E35">
        <v>990</v>
      </c>
      <c r="F35">
        <f t="shared" si="1"/>
        <v>990</v>
      </c>
      <c r="G35" t="s">
        <v>53</v>
      </c>
    </row>
    <row r="36" spans="1:7">
      <c r="A36" s="3">
        <v>45848</v>
      </c>
      <c r="B36" t="s">
        <v>32</v>
      </c>
      <c r="C36" t="s">
        <v>33</v>
      </c>
      <c r="D36">
        <v>1</v>
      </c>
      <c r="E36">
        <v>2640</v>
      </c>
      <c r="F36">
        <f t="shared" si="1"/>
        <v>2640</v>
      </c>
      <c r="G36" t="s">
        <v>53</v>
      </c>
    </row>
    <row r="37" spans="1:7">
      <c r="A37" s="3">
        <v>45848</v>
      </c>
      <c r="B37" t="s">
        <v>9</v>
      </c>
      <c r="C37" t="s">
        <v>10</v>
      </c>
      <c r="D37">
        <v>1</v>
      </c>
      <c r="E37">
        <v>3120</v>
      </c>
      <c r="F37">
        <f t="shared" si="1"/>
        <v>3120</v>
      </c>
      <c r="G37" t="s">
        <v>53</v>
      </c>
    </row>
    <row r="38" spans="1:7">
      <c r="A38" s="3">
        <v>45849</v>
      </c>
      <c r="B38" t="s">
        <v>15</v>
      </c>
      <c r="C38" t="s">
        <v>16</v>
      </c>
      <c r="D38">
        <v>2</v>
      </c>
      <c r="E38">
        <v>5800</v>
      </c>
      <c r="F38">
        <f t="shared" si="1"/>
        <v>11600</v>
      </c>
      <c r="G38" t="s">
        <v>68</v>
      </c>
    </row>
    <row r="39" spans="1:7">
      <c r="A39" s="3">
        <v>45849</v>
      </c>
      <c r="B39" t="s">
        <v>17</v>
      </c>
      <c r="C39" t="s">
        <v>18</v>
      </c>
      <c r="D39">
        <v>3</v>
      </c>
      <c r="E39">
        <v>3910</v>
      </c>
      <c r="F39">
        <f t="shared" si="1"/>
        <v>11730</v>
      </c>
      <c r="G39" t="s">
        <v>53</v>
      </c>
    </row>
    <row r="40" spans="1:7">
      <c r="A40" s="3">
        <v>45850</v>
      </c>
      <c r="B40" t="s">
        <v>32</v>
      </c>
      <c r="C40" t="s">
        <v>33</v>
      </c>
      <c r="D40">
        <v>2</v>
      </c>
      <c r="E40">
        <v>2640</v>
      </c>
      <c r="F40">
        <f t="shared" si="1"/>
        <v>5280</v>
      </c>
      <c r="G40" t="s">
        <v>53</v>
      </c>
    </row>
    <row r="41" spans="1:7">
      <c r="A41" s="3">
        <v>45853</v>
      </c>
      <c r="B41" t="s">
        <v>39</v>
      </c>
      <c r="C41" t="s">
        <v>39</v>
      </c>
      <c r="D41">
        <v>3</v>
      </c>
      <c r="E41">
        <v>990</v>
      </c>
      <c r="F41">
        <f t="shared" si="1"/>
        <v>2970</v>
      </c>
      <c r="G41" t="s">
        <v>53</v>
      </c>
    </row>
    <row r="42" spans="1:7">
      <c r="A42" s="3">
        <v>45855</v>
      </c>
      <c r="B42" t="s">
        <v>13</v>
      </c>
      <c r="C42" t="s">
        <v>14</v>
      </c>
      <c r="D42">
        <v>4</v>
      </c>
      <c r="E42">
        <v>1015</v>
      </c>
      <c r="F42">
        <f t="shared" si="1"/>
        <v>4060</v>
      </c>
      <c r="G42" t="s">
        <v>54</v>
      </c>
    </row>
    <row r="43" spans="1:7">
      <c r="A43" s="3">
        <v>45855</v>
      </c>
      <c r="B43" t="s">
        <v>9</v>
      </c>
      <c r="C43" t="s">
        <v>10</v>
      </c>
      <c r="D43">
        <v>1</v>
      </c>
      <c r="E43">
        <v>3120</v>
      </c>
      <c r="F43">
        <f t="shared" si="1"/>
        <v>3120</v>
      </c>
      <c r="G43" t="s">
        <v>54</v>
      </c>
    </row>
    <row r="44" spans="1:7">
      <c r="A44" s="3">
        <v>45857</v>
      </c>
      <c r="B44" t="s">
        <v>26</v>
      </c>
      <c r="C44" t="s">
        <v>27</v>
      </c>
      <c r="D44">
        <v>2</v>
      </c>
      <c r="E44">
        <v>985</v>
      </c>
      <c r="F44">
        <f t="shared" si="1"/>
        <v>1970</v>
      </c>
      <c r="G44" t="s">
        <v>53</v>
      </c>
    </row>
    <row r="45" spans="1:7">
      <c r="A45" s="3">
        <v>45860</v>
      </c>
      <c r="B45" t="s">
        <v>9</v>
      </c>
      <c r="C45" t="s">
        <v>10</v>
      </c>
      <c r="D45">
        <v>3</v>
      </c>
      <c r="E45">
        <v>3120</v>
      </c>
      <c r="F45">
        <f t="shared" si="1"/>
        <v>9360</v>
      </c>
      <c r="G45" t="s">
        <v>53</v>
      </c>
    </row>
    <row r="46" spans="1:7">
      <c r="A46" s="3">
        <v>45861</v>
      </c>
      <c r="B46" t="s">
        <v>9</v>
      </c>
      <c r="C46" t="s">
        <v>10</v>
      </c>
      <c r="D46">
        <v>1</v>
      </c>
      <c r="E46">
        <v>3120</v>
      </c>
      <c r="F46">
        <f t="shared" si="1"/>
        <v>3120</v>
      </c>
      <c r="G46" t="s">
        <v>54</v>
      </c>
    </row>
    <row r="47" spans="1:7">
      <c r="A47" s="3">
        <v>45865</v>
      </c>
      <c r="B47" t="s">
        <v>17</v>
      </c>
      <c r="C47" t="s">
        <v>18</v>
      </c>
      <c r="D47">
        <v>3</v>
      </c>
      <c r="E47">
        <v>3910</v>
      </c>
      <c r="F47">
        <f t="shared" si="1"/>
        <v>11730</v>
      </c>
      <c r="G47" t="s">
        <v>53</v>
      </c>
    </row>
    <row r="48" spans="1:7">
      <c r="A48" s="3">
        <v>45865</v>
      </c>
      <c r="B48" t="s">
        <v>42</v>
      </c>
      <c r="C48" t="s">
        <v>43</v>
      </c>
      <c r="D48">
        <v>3</v>
      </c>
      <c r="E48">
        <v>970</v>
      </c>
      <c r="F48">
        <f t="shared" si="1"/>
        <v>2910</v>
      </c>
      <c r="G48" t="s">
        <v>53</v>
      </c>
    </row>
    <row r="49" spans="1:7">
      <c r="A49" s="3">
        <v>45869</v>
      </c>
      <c r="B49" t="s">
        <v>15</v>
      </c>
      <c r="C49" t="s">
        <v>16</v>
      </c>
      <c r="D49">
        <v>1</v>
      </c>
      <c r="E49">
        <v>5800</v>
      </c>
      <c r="F49">
        <f t="shared" si="1"/>
        <v>5800</v>
      </c>
      <c r="G49" t="s">
        <v>53</v>
      </c>
    </row>
    <row r="50" spans="1:7">
      <c r="A50" s="3">
        <v>45872</v>
      </c>
      <c r="B50" t="s">
        <v>42</v>
      </c>
      <c r="C50" t="s">
        <v>43</v>
      </c>
      <c r="D50">
        <v>1</v>
      </c>
      <c r="E50">
        <v>970</v>
      </c>
      <c r="F50">
        <f t="shared" si="1"/>
        <v>970</v>
      </c>
      <c r="G50" t="s">
        <v>53</v>
      </c>
    </row>
    <row r="51" spans="1:7">
      <c r="A51" s="3">
        <v>45874</v>
      </c>
      <c r="B51" t="s">
        <v>39</v>
      </c>
      <c r="C51" t="s">
        <v>39</v>
      </c>
      <c r="D51">
        <v>3</v>
      </c>
      <c r="E51">
        <v>990</v>
      </c>
      <c r="F51">
        <f t="shared" si="1"/>
        <v>2970</v>
      </c>
      <c r="G51" t="s">
        <v>54</v>
      </c>
    </row>
    <row r="52" spans="1:7">
      <c r="A52" s="3">
        <v>45876</v>
      </c>
      <c r="B52" t="s">
        <v>24</v>
      </c>
      <c r="C52" t="s">
        <v>25</v>
      </c>
      <c r="D52">
        <v>5</v>
      </c>
      <c r="E52">
        <v>4310</v>
      </c>
      <c r="F52">
        <f t="shared" si="1"/>
        <v>21550</v>
      </c>
      <c r="G52" t="s">
        <v>53</v>
      </c>
    </row>
    <row r="53" spans="1:7">
      <c r="A53" s="3">
        <v>45876</v>
      </c>
      <c r="B53" t="s">
        <v>26</v>
      </c>
      <c r="C53" t="s">
        <v>27</v>
      </c>
      <c r="D53">
        <v>2</v>
      </c>
      <c r="E53">
        <v>985</v>
      </c>
      <c r="F53">
        <f t="shared" si="1"/>
        <v>1970</v>
      </c>
      <c r="G53" t="s">
        <v>53</v>
      </c>
    </row>
    <row r="54" spans="1:7">
      <c r="A54" s="3">
        <v>45877</v>
      </c>
      <c r="B54" t="s">
        <v>11</v>
      </c>
      <c r="C54" t="s">
        <v>12</v>
      </c>
      <c r="D54">
        <v>2</v>
      </c>
      <c r="E54">
        <v>4940</v>
      </c>
      <c r="F54">
        <f t="shared" si="1"/>
        <v>9880</v>
      </c>
      <c r="G54" t="s">
        <v>53</v>
      </c>
    </row>
    <row r="55" spans="1:7">
      <c r="A55" s="3">
        <v>45878</v>
      </c>
      <c r="B55" t="s">
        <v>15</v>
      </c>
      <c r="C55" t="s">
        <v>16</v>
      </c>
      <c r="D55">
        <v>2</v>
      </c>
      <c r="E55">
        <v>5800</v>
      </c>
      <c r="F55">
        <f t="shared" si="1"/>
        <v>11600</v>
      </c>
      <c r="G55" t="s">
        <v>53</v>
      </c>
    </row>
    <row r="56" spans="1:7">
      <c r="A56" s="3">
        <v>45880</v>
      </c>
      <c r="B56" t="s">
        <v>26</v>
      </c>
      <c r="C56" t="s">
        <v>27</v>
      </c>
      <c r="D56">
        <v>1</v>
      </c>
      <c r="E56">
        <v>985</v>
      </c>
      <c r="F56">
        <f t="shared" si="1"/>
        <v>985</v>
      </c>
      <c r="G56" t="s">
        <v>54</v>
      </c>
    </row>
    <row r="57" spans="1:7">
      <c r="A57" s="3">
        <v>45881</v>
      </c>
      <c r="B57" t="s">
        <v>11</v>
      </c>
      <c r="C57" t="s">
        <v>12</v>
      </c>
      <c r="D57">
        <v>1</v>
      </c>
      <c r="E57">
        <v>4940</v>
      </c>
      <c r="F57">
        <f t="shared" si="1"/>
        <v>4940</v>
      </c>
      <c r="G57" t="s">
        <v>53</v>
      </c>
    </row>
    <row r="58" spans="1:7">
      <c r="A58" s="3">
        <v>45881</v>
      </c>
      <c r="B58" t="s">
        <v>22</v>
      </c>
      <c r="C58" t="s">
        <v>23</v>
      </c>
      <c r="D58">
        <v>1</v>
      </c>
      <c r="E58">
        <v>4525</v>
      </c>
      <c r="F58">
        <f t="shared" si="1"/>
        <v>4525</v>
      </c>
      <c r="G58" t="s">
        <v>54</v>
      </c>
    </row>
    <row r="59" spans="1:7">
      <c r="A59" s="3">
        <v>45886</v>
      </c>
      <c r="B59" t="s">
        <v>22</v>
      </c>
      <c r="C59" t="s">
        <v>23</v>
      </c>
      <c r="D59">
        <v>3</v>
      </c>
      <c r="E59">
        <v>4525</v>
      </c>
      <c r="F59">
        <f t="shared" si="1"/>
        <v>13575</v>
      </c>
      <c r="G59" t="s">
        <v>53</v>
      </c>
    </row>
    <row r="60" spans="1:7">
      <c r="A60" s="3">
        <v>45886</v>
      </c>
      <c r="B60" t="s">
        <v>34</v>
      </c>
      <c r="C60" t="s">
        <v>35</v>
      </c>
      <c r="D60">
        <v>1</v>
      </c>
      <c r="E60">
        <v>623</v>
      </c>
      <c r="F60">
        <f t="shared" si="1"/>
        <v>623</v>
      </c>
      <c r="G60" t="s">
        <v>54</v>
      </c>
    </row>
    <row r="61" spans="1:7">
      <c r="A61" s="3">
        <v>45889</v>
      </c>
      <c r="B61" t="s">
        <v>9</v>
      </c>
      <c r="C61" t="s">
        <v>10</v>
      </c>
      <c r="D61">
        <v>1</v>
      </c>
      <c r="E61">
        <v>3120</v>
      </c>
      <c r="F61">
        <f t="shared" si="1"/>
        <v>3120</v>
      </c>
      <c r="G61" t="s">
        <v>54</v>
      </c>
    </row>
    <row r="62" spans="1:7">
      <c r="A62" s="3">
        <v>45889</v>
      </c>
      <c r="B62" t="s">
        <v>13</v>
      </c>
      <c r="C62" t="s">
        <v>14</v>
      </c>
      <c r="D62">
        <v>2</v>
      </c>
      <c r="E62">
        <v>1015</v>
      </c>
      <c r="F62">
        <f t="shared" si="1"/>
        <v>2030</v>
      </c>
      <c r="G62" t="s">
        <v>54</v>
      </c>
    </row>
    <row r="63" spans="1:7">
      <c r="A63" s="3">
        <v>45894</v>
      </c>
      <c r="B63" t="s">
        <v>7</v>
      </c>
      <c r="C63" t="s">
        <v>8</v>
      </c>
      <c r="D63">
        <v>1</v>
      </c>
      <c r="E63">
        <v>710</v>
      </c>
      <c r="F63">
        <f t="shared" si="1"/>
        <v>710</v>
      </c>
      <c r="G63" t="s">
        <v>53</v>
      </c>
    </row>
    <row r="64" spans="1:7">
      <c r="A64" s="3">
        <v>45898</v>
      </c>
      <c r="B64" t="s">
        <v>34</v>
      </c>
      <c r="C64" t="s">
        <v>35</v>
      </c>
      <c r="D64">
        <v>2</v>
      </c>
      <c r="E64">
        <v>623</v>
      </c>
      <c r="F64">
        <f t="shared" si="1"/>
        <v>1246</v>
      </c>
      <c r="G6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129"/>
  <sheetViews>
    <sheetView zoomScale="85" zoomScaleNormal="85" workbookViewId="0">
      <selection activeCell="D23" sqref="D23"/>
    </sheetView>
  </sheetViews>
  <sheetFormatPr defaultRowHeight="14.4"/>
  <cols>
    <col min="2" max="2" width="14.21875" bestFit="1" customWidth="1"/>
    <col min="3" max="3" width="16.44140625" bestFit="1" customWidth="1"/>
    <col min="4" max="5" width="20.33203125" bestFit="1" customWidth="1"/>
    <col min="6" max="6" width="16.44140625" bestFit="1" customWidth="1"/>
    <col min="7" max="7" width="11" bestFit="1" customWidth="1"/>
    <col min="8" max="8" width="20.33203125" bestFit="1" customWidth="1"/>
    <col min="9" max="9" width="9.88671875" bestFit="1" customWidth="1"/>
    <col min="10" max="10" width="15.109375" bestFit="1" customWidth="1"/>
    <col min="11" max="11" width="10.77734375" customWidth="1"/>
  </cols>
  <sheetData>
    <row r="1" spans="1:16" ht="23.4" customHeight="1">
      <c r="A1" s="13"/>
      <c r="B1" s="13"/>
      <c r="C1" s="25" t="s">
        <v>69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13"/>
      <c r="O1" s="13"/>
      <c r="P1" s="13"/>
    </row>
    <row r="3" spans="1:16" ht="21" customHeight="1">
      <c r="B3" s="14" t="s">
        <v>70</v>
      </c>
      <c r="C3" s="8">
        <f>SUM(Sale!F:F)</f>
        <v>310547</v>
      </c>
      <c r="E3" s="17" t="s">
        <v>1</v>
      </c>
      <c r="F3" s="17" t="s">
        <v>2</v>
      </c>
      <c r="G3" s="17" t="s">
        <v>62</v>
      </c>
      <c r="H3" s="17" t="s">
        <v>63</v>
      </c>
      <c r="I3" s="17" t="s">
        <v>64</v>
      </c>
      <c r="J3" s="17" t="s">
        <v>65</v>
      </c>
    </row>
    <row r="4" spans="1:16" ht="24.6" customHeight="1">
      <c r="B4" s="14" t="s">
        <v>71</v>
      </c>
      <c r="C4" s="8">
        <f>SUM(Purchase!F:F)</f>
        <v>288801</v>
      </c>
      <c r="E4" s="18" t="s">
        <v>19</v>
      </c>
      <c r="F4" s="18" t="s">
        <v>20</v>
      </c>
      <c r="G4" s="18">
        <v>2480</v>
      </c>
      <c r="H4" s="18">
        <v>2923</v>
      </c>
      <c r="I4" s="18">
        <f t="shared" ref="I4:I24" si="0">H4-G4</f>
        <v>443</v>
      </c>
      <c r="J4" s="19">
        <f t="shared" ref="J4:J24" si="1">I4/G4*100</f>
        <v>17.862903225806452</v>
      </c>
    </row>
    <row r="5" spans="1:16">
      <c r="B5" s="14" t="s">
        <v>72</v>
      </c>
      <c r="C5" s="8" cm="1">
        <f t="array" ref="C5">SUM(I4:I24*D53:D73)</f>
        <v>60618</v>
      </c>
      <c r="E5" s="18" t="s">
        <v>30</v>
      </c>
      <c r="F5" s="18" t="s">
        <v>31</v>
      </c>
      <c r="G5" s="18">
        <v>2050</v>
      </c>
      <c r="H5" s="18">
        <v>2500</v>
      </c>
      <c r="I5" s="18">
        <f t="shared" si="0"/>
        <v>450</v>
      </c>
      <c r="J5" s="19">
        <f t="shared" si="1"/>
        <v>21.951219512195124</v>
      </c>
    </row>
    <row r="6" spans="1:16">
      <c r="B6" s="14"/>
      <c r="C6" s="8"/>
      <c r="E6" s="18" t="s">
        <v>22</v>
      </c>
      <c r="F6" s="18" t="s">
        <v>23</v>
      </c>
      <c r="G6" s="18">
        <v>3560</v>
      </c>
      <c r="H6" s="18">
        <v>4525</v>
      </c>
      <c r="I6" s="18">
        <f t="shared" si="0"/>
        <v>965</v>
      </c>
      <c r="J6" s="19">
        <f t="shared" si="1"/>
        <v>27.106741573033709</v>
      </c>
    </row>
    <row r="7" spans="1:16" ht="28.8">
      <c r="B7" s="14" t="s">
        <v>73</v>
      </c>
      <c r="C7" s="8" t="s">
        <v>16</v>
      </c>
      <c r="E7" s="18" t="s">
        <v>32</v>
      </c>
      <c r="F7" s="18" t="s">
        <v>33</v>
      </c>
      <c r="G7" s="18">
        <v>2260</v>
      </c>
      <c r="H7" s="18">
        <v>2640</v>
      </c>
      <c r="I7" s="18">
        <f t="shared" si="0"/>
        <v>380</v>
      </c>
      <c r="J7" s="19">
        <f t="shared" si="1"/>
        <v>16.814159292035399</v>
      </c>
    </row>
    <row r="8" spans="1:16" ht="23.4" customHeight="1">
      <c r="B8" s="14"/>
      <c r="C8" s="15"/>
      <c r="E8" s="18" t="s">
        <v>9</v>
      </c>
      <c r="F8" s="18" t="s">
        <v>10</v>
      </c>
      <c r="G8" s="18">
        <v>2720</v>
      </c>
      <c r="H8" s="18">
        <v>3120</v>
      </c>
      <c r="I8" s="18">
        <f t="shared" si="0"/>
        <v>400</v>
      </c>
      <c r="J8" s="19">
        <f t="shared" si="1"/>
        <v>14.705882352941178</v>
      </c>
    </row>
    <row r="9" spans="1:16" ht="31.2" customHeight="1">
      <c r="B9" s="16" t="s">
        <v>74</v>
      </c>
      <c r="C9" s="8">
        <f>COUNTA(Sale!A:A)</f>
        <v>64</v>
      </c>
      <c r="E9" s="18" t="s">
        <v>39</v>
      </c>
      <c r="F9" s="18" t="s">
        <v>39</v>
      </c>
      <c r="G9" s="18">
        <v>800</v>
      </c>
      <c r="H9" s="18">
        <v>990</v>
      </c>
      <c r="I9" s="18">
        <f t="shared" si="0"/>
        <v>190</v>
      </c>
      <c r="J9" s="19">
        <f t="shared" si="1"/>
        <v>23.75</v>
      </c>
    </row>
    <row r="10" spans="1:16" ht="37.200000000000003" customHeight="1">
      <c r="B10" s="16" t="s">
        <v>75</v>
      </c>
      <c r="C10">
        <f>COUNTA(Purchase!A:A)</f>
        <v>39</v>
      </c>
      <c r="E10" s="18" t="s">
        <v>21</v>
      </c>
      <c r="F10" s="18" t="s">
        <v>21</v>
      </c>
      <c r="G10" s="18">
        <v>560</v>
      </c>
      <c r="H10" s="18">
        <v>624</v>
      </c>
      <c r="I10" s="18">
        <f t="shared" si="0"/>
        <v>64</v>
      </c>
      <c r="J10" s="19">
        <f t="shared" si="1"/>
        <v>11.428571428571429</v>
      </c>
    </row>
    <row r="11" spans="1:16">
      <c r="E11" s="18" t="s">
        <v>28</v>
      </c>
      <c r="F11" s="18" t="s">
        <v>29</v>
      </c>
      <c r="G11" s="18">
        <v>657</v>
      </c>
      <c r="H11" s="18">
        <v>730</v>
      </c>
      <c r="I11" s="18">
        <f t="shared" si="0"/>
        <v>73</v>
      </c>
      <c r="J11" s="19">
        <f t="shared" si="1"/>
        <v>11.111111111111111</v>
      </c>
    </row>
    <row r="12" spans="1:16">
      <c r="E12" s="18" t="s">
        <v>13</v>
      </c>
      <c r="F12" s="18" t="s">
        <v>14</v>
      </c>
      <c r="G12" s="18">
        <v>880</v>
      </c>
      <c r="H12" s="18">
        <v>1015</v>
      </c>
      <c r="I12" s="18">
        <f t="shared" si="0"/>
        <v>135</v>
      </c>
      <c r="J12" s="19">
        <f t="shared" si="1"/>
        <v>15.340909090909092</v>
      </c>
    </row>
    <row r="13" spans="1:16">
      <c r="E13" s="18" t="s">
        <v>42</v>
      </c>
      <c r="F13" s="18" t="s">
        <v>43</v>
      </c>
      <c r="G13" s="18">
        <v>854</v>
      </c>
      <c r="H13" s="18">
        <v>970</v>
      </c>
      <c r="I13" s="18">
        <f t="shared" si="0"/>
        <v>116</v>
      </c>
      <c r="J13" s="19">
        <f t="shared" si="1"/>
        <v>13.583138173302109</v>
      </c>
    </row>
    <row r="14" spans="1:16">
      <c r="E14" s="18" t="s">
        <v>26</v>
      </c>
      <c r="F14" s="18" t="s">
        <v>27</v>
      </c>
      <c r="G14" s="18">
        <v>890</v>
      </c>
      <c r="H14" s="18">
        <v>985</v>
      </c>
      <c r="I14" s="18">
        <f t="shared" si="0"/>
        <v>95</v>
      </c>
      <c r="J14" s="19">
        <f t="shared" si="1"/>
        <v>10.674157303370785</v>
      </c>
    </row>
    <row r="15" spans="1:16">
      <c r="E15" s="18" t="s">
        <v>40</v>
      </c>
      <c r="F15" s="18" t="s">
        <v>41</v>
      </c>
      <c r="G15" s="18">
        <v>580</v>
      </c>
      <c r="H15" s="18">
        <v>660</v>
      </c>
      <c r="I15" s="18">
        <f t="shared" si="0"/>
        <v>80</v>
      </c>
      <c r="J15" s="19">
        <f t="shared" si="1"/>
        <v>13.793103448275861</v>
      </c>
    </row>
    <row r="16" spans="1:16">
      <c r="E16" s="18" t="s">
        <v>7</v>
      </c>
      <c r="F16" s="18" t="s">
        <v>8</v>
      </c>
      <c r="G16" s="18">
        <v>625</v>
      </c>
      <c r="H16" s="18">
        <v>710</v>
      </c>
      <c r="I16" s="18">
        <f t="shared" si="0"/>
        <v>85</v>
      </c>
      <c r="J16" s="19">
        <f t="shared" si="1"/>
        <v>13.600000000000001</v>
      </c>
    </row>
    <row r="17" spans="2:10">
      <c r="E17" s="18" t="s">
        <v>34</v>
      </c>
      <c r="F17" s="18" t="s">
        <v>35</v>
      </c>
      <c r="G17" s="18">
        <v>540</v>
      </c>
      <c r="H17" s="18">
        <v>623</v>
      </c>
      <c r="I17" s="18">
        <f t="shared" si="0"/>
        <v>83</v>
      </c>
      <c r="J17" s="19">
        <f t="shared" si="1"/>
        <v>15.37037037037037</v>
      </c>
    </row>
    <row r="18" spans="2:10">
      <c r="E18" s="18" t="s">
        <v>38</v>
      </c>
      <c r="F18" s="18" t="s">
        <v>38</v>
      </c>
      <c r="G18" s="18">
        <v>590</v>
      </c>
      <c r="H18" s="18">
        <v>700</v>
      </c>
      <c r="I18" s="18">
        <f t="shared" si="0"/>
        <v>110</v>
      </c>
      <c r="J18" s="19">
        <f t="shared" si="1"/>
        <v>18.64406779661017</v>
      </c>
    </row>
    <row r="19" spans="2:10">
      <c r="B19" t="s">
        <v>55</v>
      </c>
      <c r="E19" s="18" t="s">
        <v>24</v>
      </c>
      <c r="F19" s="18" t="s">
        <v>25</v>
      </c>
      <c r="G19" s="18">
        <v>3375</v>
      </c>
      <c r="H19" s="18">
        <v>4310</v>
      </c>
      <c r="I19" s="18">
        <f t="shared" si="0"/>
        <v>935</v>
      </c>
      <c r="J19" s="19">
        <f t="shared" si="1"/>
        <v>27.703703703703702</v>
      </c>
    </row>
    <row r="20" spans="2:10">
      <c r="E20" s="18" t="s">
        <v>17</v>
      </c>
      <c r="F20" s="18" t="s">
        <v>18</v>
      </c>
      <c r="G20" s="18">
        <v>3150</v>
      </c>
      <c r="H20" s="18">
        <v>3910</v>
      </c>
      <c r="I20" s="18">
        <f t="shared" si="0"/>
        <v>760</v>
      </c>
      <c r="J20" s="19">
        <f t="shared" si="1"/>
        <v>24.126984126984127</v>
      </c>
    </row>
    <row r="21" spans="2:10">
      <c r="E21" s="18" t="s">
        <v>11</v>
      </c>
      <c r="F21" s="18" t="s">
        <v>12</v>
      </c>
      <c r="G21" s="18">
        <v>3730</v>
      </c>
      <c r="H21" s="18">
        <v>4940</v>
      </c>
      <c r="I21" s="18">
        <f t="shared" si="0"/>
        <v>1210</v>
      </c>
      <c r="J21" s="19">
        <f t="shared" si="1"/>
        <v>32.439678284182307</v>
      </c>
    </row>
    <row r="22" spans="2:10">
      <c r="E22" s="18" t="s">
        <v>15</v>
      </c>
      <c r="F22" s="18" t="s">
        <v>16</v>
      </c>
      <c r="G22" s="18">
        <v>4330</v>
      </c>
      <c r="H22" s="18">
        <v>5800</v>
      </c>
      <c r="I22" s="18">
        <f t="shared" si="0"/>
        <v>1470</v>
      </c>
      <c r="J22" s="19">
        <f t="shared" si="1"/>
        <v>33.94919168591224</v>
      </c>
    </row>
    <row r="23" spans="2:10">
      <c r="E23" s="18" t="s">
        <v>5</v>
      </c>
      <c r="F23" s="18" t="s">
        <v>6</v>
      </c>
      <c r="G23" s="18">
        <v>4785</v>
      </c>
      <c r="H23" s="18">
        <v>6300</v>
      </c>
      <c r="I23" s="18">
        <f t="shared" si="0"/>
        <v>1515</v>
      </c>
      <c r="J23" s="19">
        <f t="shared" si="1"/>
        <v>31.661442006269592</v>
      </c>
    </row>
    <row r="24" spans="2:10">
      <c r="E24" s="18" t="s">
        <v>36</v>
      </c>
      <c r="F24" s="18" t="s">
        <v>37</v>
      </c>
      <c r="G24" s="18">
        <v>1347</v>
      </c>
      <c r="H24" s="18">
        <v>1485</v>
      </c>
      <c r="I24" s="18">
        <f t="shared" si="0"/>
        <v>138</v>
      </c>
      <c r="J24" s="19">
        <f t="shared" si="1"/>
        <v>10.244988864142538</v>
      </c>
    </row>
    <row r="27" spans="2:10" ht="18">
      <c r="B27" s="26" t="s">
        <v>76</v>
      </c>
      <c r="C27" s="26"/>
      <c r="D27" s="26"/>
      <c r="E27" s="26"/>
    </row>
    <row r="30" spans="2:10" ht="15.6">
      <c r="B30" s="20" t="s">
        <v>44</v>
      </c>
      <c r="C30" s="21" t="s">
        <v>46</v>
      </c>
    </row>
    <row r="31" spans="2:10" ht="15.6">
      <c r="B31" s="22" t="s">
        <v>53</v>
      </c>
      <c r="C31" s="21">
        <v>246810</v>
      </c>
    </row>
    <row r="32" spans="2:10" ht="15.6">
      <c r="B32" s="22" t="s">
        <v>68</v>
      </c>
      <c r="C32" s="21">
        <v>22071</v>
      </c>
    </row>
    <row r="33" spans="2:5" ht="15.6">
      <c r="B33" s="22" t="s">
        <v>54</v>
      </c>
      <c r="C33" s="21">
        <v>41666</v>
      </c>
    </row>
    <row r="34" spans="2:5" ht="15.6">
      <c r="B34" s="22" t="s">
        <v>45</v>
      </c>
      <c r="C34" s="21">
        <v>310547</v>
      </c>
    </row>
    <row r="46" spans="2:5" ht="21">
      <c r="B46" s="25" t="s">
        <v>77</v>
      </c>
      <c r="C46" s="27"/>
      <c r="D46" s="27"/>
      <c r="E46" s="27"/>
    </row>
    <row r="52" spans="3:5">
      <c r="C52" s="4" t="s">
        <v>44</v>
      </c>
      <c r="D52" t="s">
        <v>67</v>
      </c>
      <c r="E52" t="s">
        <v>46</v>
      </c>
    </row>
    <row r="53" spans="3:5">
      <c r="C53" s="5" t="s">
        <v>19</v>
      </c>
      <c r="D53">
        <v>2</v>
      </c>
      <c r="E53">
        <v>5846</v>
      </c>
    </row>
    <row r="54" spans="3:5">
      <c r="C54" s="5" t="s">
        <v>30</v>
      </c>
      <c r="D54">
        <v>1</v>
      </c>
      <c r="E54">
        <v>2500</v>
      </c>
    </row>
    <row r="55" spans="3:5">
      <c r="C55" s="5" t="s">
        <v>22</v>
      </c>
      <c r="D55">
        <v>4</v>
      </c>
      <c r="E55">
        <v>18100</v>
      </c>
    </row>
    <row r="56" spans="3:5">
      <c r="C56" s="5" t="s">
        <v>32</v>
      </c>
      <c r="D56">
        <v>4</v>
      </c>
      <c r="E56">
        <v>10560</v>
      </c>
    </row>
    <row r="57" spans="3:5">
      <c r="C57" s="5" t="s">
        <v>9</v>
      </c>
      <c r="D57">
        <v>7</v>
      </c>
      <c r="E57">
        <v>21840</v>
      </c>
    </row>
    <row r="58" spans="3:5">
      <c r="C58" s="5" t="s">
        <v>39</v>
      </c>
      <c r="D58">
        <v>7</v>
      </c>
      <c r="E58">
        <v>6930</v>
      </c>
    </row>
    <row r="59" spans="3:5">
      <c r="C59" s="5" t="s">
        <v>21</v>
      </c>
      <c r="D59">
        <v>4</v>
      </c>
      <c r="E59">
        <v>2496</v>
      </c>
    </row>
    <row r="60" spans="3:5">
      <c r="C60" s="5" t="s">
        <v>28</v>
      </c>
      <c r="D60">
        <v>3</v>
      </c>
      <c r="E60">
        <v>2190</v>
      </c>
    </row>
    <row r="61" spans="3:5">
      <c r="C61" s="5" t="s">
        <v>13</v>
      </c>
      <c r="D61">
        <v>6</v>
      </c>
      <c r="E61">
        <v>6090</v>
      </c>
    </row>
    <row r="62" spans="3:5">
      <c r="C62" s="5" t="s">
        <v>42</v>
      </c>
      <c r="D62">
        <v>11</v>
      </c>
      <c r="E62">
        <v>10670</v>
      </c>
    </row>
    <row r="63" spans="3:5">
      <c r="C63" s="5" t="s">
        <v>26</v>
      </c>
      <c r="D63">
        <v>6</v>
      </c>
      <c r="E63">
        <v>5910</v>
      </c>
    </row>
    <row r="64" spans="3:5">
      <c r="C64" s="5" t="s">
        <v>40</v>
      </c>
      <c r="D64">
        <v>2</v>
      </c>
      <c r="E64">
        <v>1320</v>
      </c>
    </row>
    <row r="65" spans="2:6">
      <c r="C65" s="5" t="s">
        <v>7</v>
      </c>
      <c r="D65">
        <v>3</v>
      </c>
      <c r="E65">
        <v>2130</v>
      </c>
    </row>
    <row r="66" spans="2:6">
      <c r="C66" s="5" t="s">
        <v>34</v>
      </c>
      <c r="D66">
        <v>10</v>
      </c>
      <c r="E66">
        <v>6230</v>
      </c>
    </row>
    <row r="67" spans="2:6">
      <c r="C67" s="5" t="s">
        <v>38</v>
      </c>
      <c r="D67">
        <v>6</v>
      </c>
      <c r="E67">
        <v>4200</v>
      </c>
    </row>
    <row r="68" spans="2:6">
      <c r="C68" s="5" t="s">
        <v>24</v>
      </c>
      <c r="D68">
        <v>10</v>
      </c>
      <c r="E68">
        <v>43100</v>
      </c>
    </row>
    <row r="69" spans="2:6">
      <c r="C69" s="5" t="s">
        <v>17</v>
      </c>
      <c r="D69">
        <v>14</v>
      </c>
      <c r="E69">
        <v>54740</v>
      </c>
    </row>
    <row r="70" spans="2:6">
      <c r="C70" s="5" t="s">
        <v>11</v>
      </c>
      <c r="D70">
        <v>5</v>
      </c>
      <c r="E70">
        <v>24700</v>
      </c>
    </row>
    <row r="71" spans="2:6">
      <c r="C71" s="5" t="s">
        <v>15</v>
      </c>
      <c r="D71">
        <v>10</v>
      </c>
      <c r="E71">
        <v>58000</v>
      </c>
    </row>
    <row r="72" spans="2:6">
      <c r="C72" s="5" t="s">
        <v>5</v>
      </c>
      <c r="D72">
        <v>2</v>
      </c>
      <c r="E72">
        <v>12600</v>
      </c>
    </row>
    <row r="73" spans="2:6">
      <c r="C73" s="5" t="s">
        <v>36</v>
      </c>
      <c r="D73">
        <v>7</v>
      </c>
      <c r="E73">
        <v>10395</v>
      </c>
    </row>
    <row r="74" spans="2:6">
      <c r="C74" s="5" t="s">
        <v>45</v>
      </c>
      <c r="D74">
        <v>124</v>
      </c>
      <c r="E74">
        <v>310547</v>
      </c>
    </row>
    <row r="75" spans="2:6" ht="22.8" customHeight="1"/>
    <row r="76" spans="2:6" ht="13.8" customHeight="1"/>
    <row r="77" spans="2:6" ht="23.4" customHeight="1">
      <c r="B77" s="25" t="s">
        <v>78</v>
      </c>
      <c r="C77" s="25"/>
      <c r="D77" s="25"/>
      <c r="E77" s="25"/>
      <c r="F77" s="25"/>
    </row>
    <row r="81" spans="3:4">
      <c r="C81" s="4" t="s">
        <v>44</v>
      </c>
      <c r="D81" t="s">
        <v>46</v>
      </c>
    </row>
    <row r="82" spans="3:4">
      <c r="C82" s="5" t="s">
        <v>19</v>
      </c>
      <c r="D82">
        <v>14880</v>
      </c>
    </row>
    <row r="83" spans="3:4">
      <c r="C83" s="5" t="s">
        <v>30</v>
      </c>
      <c r="D83">
        <v>4100</v>
      </c>
    </row>
    <row r="84" spans="3:4">
      <c r="C84" s="5" t="s">
        <v>22</v>
      </c>
      <c r="D84">
        <v>32040</v>
      </c>
    </row>
    <row r="85" spans="3:4">
      <c r="C85" s="5" t="s">
        <v>32</v>
      </c>
      <c r="D85">
        <v>13560</v>
      </c>
    </row>
    <row r="86" spans="3:4">
      <c r="C86" s="5" t="s">
        <v>9</v>
      </c>
      <c r="D86">
        <v>21760</v>
      </c>
    </row>
    <row r="87" spans="3:4">
      <c r="C87" s="5" t="s">
        <v>39</v>
      </c>
      <c r="D87">
        <v>8000</v>
      </c>
    </row>
    <row r="88" spans="3:4">
      <c r="C88" s="5" t="s">
        <v>21</v>
      </c>
      <c r="D88">
        <v>3360</v>
      </c>
    </row>
    <row r="89" spans="3:4">
      <c r="C89" s="5" t="s">
        <v>28</v>
      </c>
      <c r="D89">
        <v>4599</v>
      </c>
    </row>
    <row r="90" spans="3:4">
      <c r="C90" s="5" t="s">
        <v>13</v>
      </c>
      <c r="D90">
        <v>8800</v>
      </c>
    </row>
    <row r="91" spans="3:4">
      <c r="C91" s="5" t="s">
        <v>42</v>
      </c>
      <c r="D91">
        <v>11102</v>
      </c>
    </row>
    <row r="92" spans="3:4">
      <c r="C92" s="5" t="s">
        <v>26</v>
      </c>
      <c r="D92">
        <v>8900</v>
      </c>
    </row>
    <row r="93" spans="3:4">
      <c r="C93" s="5" t="s">
        <v>40</v>
      </c>
      <c r="D93">
        <v>1740</v>
      </c>
    </row>
    <row r="94" spans="3:4">
      <c r="C94" s="5" t="s">
        <v>34</v>
      </c>
      <c r="D94">
        <v>6480</v>
      </c>
    </row>
    <row r="95" spans="3:4">
      <c r="C95" s="5" t="s">
        <v>24</v>
      </c>
      <c r="D95">
        <v>27000</v>
      </c>
    </row>
    <row r="96" spans="3:4">
      <c r="C96" s="5" t="s">
        <v>17</v>
      </c>
      <c r="D96">
        <v>37800</v>
      </c>
    </row>
    <row r="97" spans="2:11">
      <c r="C97" s="5" t="s">
        <v>11</v>
      </c>
      <c r="D97">
        <v>14920</v>
      </c>
    </row>
    <row r="98" spans="2:11">
      <c r="C98" s="5" t="s">
        <v>15</v>
      </c>
      <c r="D98">
        <v>56290</v>
      </c>
    </row>
    <row r="99" spans="2:11">
      <c r="C99" s="5" t="s">
        <v>36</v>
      </c>
      <c r="D99">
        <v>13470</v>
      </c>
    </row>
    <row r="100" spans="2:11">
      <c r="C100" s="5" t="s">
        <v>45</v>
      </c>
      <c r="D100">
        <v>288801</v>
      </c>
    </row>
    <row r="104" spans="2:11" ht="21">
      <c r="B104" s="25" t="s">
        <v>58</v>
      </c>
      <c r="C104" s="25"/>
      <c r="D104" s="25"/>
      <c r="E104" s="25"/>
    </row>
    <row r="108" spans="2:11">
      <c r="C108" s="17" t="s">
        <v>1</v>
      </c>
      <c r="D108" s="17" t="s">
        <v>2</v>
      </c>
      <c r="E108" s="17" t="s">
        <v>62</v>
      </c>
      <c r="F108" s="17" t="s">
        <v>63</v>
      </c>
      <c r="G108" s="17" t="s">
        <v>64</v>
      </c>
      <c r="H108" s="17" t="s">
        <v>65</v>
      </c>
      <c r="I108" s="24" t="s">
        <v>79</v>
      </c>
      <c r="J108" s="24" t="s">
        <v>60</v>
      </c>
      <c r="K108" s="24" t="s">
        <v>61</v>
      </c>
    </row>
    <row r="109" spans="2:11">
      <c r="C109" s="18" t="s">
        <v>5</v>
      </c>
      <c r="D109" s="18" t="s">
        <v>6</v>
      </c>
      <c r="E109" s="18">
        <v>4785</v>
      </c>
      <c r="F109" s="18">
        <v>6300</v>
      </c>
      <c r="G109" s="18">
        <f t="shared" ref="G109:G129" si="2">F109-E109</f>
        <v>1515</v>
      </c>
      <c r="H109" s="19">
        <f t="shared" ref="H109:H129" si="3">G109/E109*100</f>
        <v>31.661442006269592</v>
      </c>
      <c r="I109" s="19">
        <f>G109/SUM($G$109:$G$129)</f>
        <v>0.15623388676910385</v>
      </c>
      <c r="J109" s="19">
        <f>I109</f>
        <v>0.15623388676910385</v>
      </c>
      <c r="K109" s="23" t="str">
        <f>IF(J109&lt;=0.8,"A",IF(J109&lt;=0.95,"B","C"))</f>
        <v>A</v>
      </c>
    </row>
    <row r="110" spans="2:11">
      <c r="C110" s="18" t="s">
        <v>15</v>
      </c>
      <c r="D110" s="18" t="s">
        <v>16</v>
      </c>
      <c r="E110" s="18">
        <v>4330</v>
      </c>
      <c r="F110" s="18">
        <v>5800</v>
      </c>
      <c r="G110" s="18">
        <f t="shared" si="2"/>
        <v>1470</v>
      </c>
      <c r="H110" s="19">
        <f t="shared" si="3"/>
        <v>33.94919168591224</v>
      </c>
      <c r="I110" s="19">
        <f t="shared" ref="I110:I129" si="4">G110/SUM($G$109:$G$129)</f>
        <v>0.15159327627101166</v>
      </c>
      <c r="J110" s="19">
        <f>$I$110+$J$109</f>
        <v>0.30782716304011548</v>
      </c>
      <c r="K110" s="23" t="str">
        <f t="shared" ref="K110:K129" si="5">IF(J110&lt;=0.8,"A",IF(J110&lt;=0.95,"B","C"))</f>
        <v>A</v>
      </c>
    </row>
    <row r="111" spans="2:11">
      <c r="C111" s="18" t="s">
        <v>11</v>
      </c>
      <c r="D111" s="18" t="s">
        <v>12</v>
      </c>
      <c r="E111" s="18">
        <v>3730</v>
      </c>
      <c r="F111" s="18">
        <v>4940</v>
      </c>
      <c r="G111" s="18">
        <f t="shared" si="2"/>
        <v>1210</v>
      </c>
      <c r="H111" s="19">
        <f t="shared" si="3"/>
        <v>32.439678284182307</v>
      </c>
      <c r="I111" s="19">
        <f t="shared" si="4"/>
        <v>0.12478086005981232</v>
      </c>
      <c r="J111" s="19">
        <f t="shared" ref="J111:J129" si="6">I111+J110</f>
        <v>0.4326080230999278</v>
      </c>
      <c r="K111" s="23" t="str">
        <f t="shared" si="5"/>
        <v>A</v>
      </c>
    </row>
    <row r="112" spans="2:11">
      <c r="C112" s="18" t="s">
        <v>22</v>
      </c>
      <c r="D112" s="18" t="s">
        <v>23</v>
      </c>
      <c r="E112" s="18">
        <v>3560</v>
      </c>
      <c r="F112" s="18">
        <v>4525</v>
      </c>
      <c r="G112" s="18">
        <f t="shared" si="2"/>
        <v>965</v>
      </c>
      <c r="H112" s="19">
        <f t="shared" si="3"/>
        <v>27.106741573033709</v>
      </c>
      <c r="I112" s="19">
        <f t="shared" si="4"/>
        <v>9.951531401464371E-2</v>
      </c>
      <c r="J112" s="19">
        <f t="shared" si="6"/>
        <v>0.53212333711457149</v>
      </c>
      <c r="K112" s="23" t="str">
        <f t="shared" si="5"/>
        <v>A</v>
      </c>
    </row>
    <row r="113" spans="3:11">
      <c r="C113" s="18" t="s">
        <v>24</v>
      </c>
      <c r="D113" s="18" t="s">
        <v>25</v>
      </c>
      <c r="E113" s="18">
        <v>3375</v>
      </c>
      <c r="F113" s="18">
        <v>4310</v>
      </c>
      <c r="G113" s="18">
        <f t="shared" si="2"/>
        <v>935</v>
      </c>
      <c r="H113" s="19">
        <f t="shared" si="3"/>
        <v>27.703703703703702</v>
      </c>
      <c r="I113" s="19">
        <f t="shared" si="4"/>
        <v>9.6421573682582237E-2</v>
      </c>
      <c r="J113" s="19">
        <f t="shared" si="6"/>
        <v>0.62854491079715369</v>
      </c>
      <c r="K113" s="23" t="str">
        <f t="shared" si="5"/>
        <v>A</v>
      </c>
    </row>
    <row r="114" spans="3:11">
      <c r="C114" s="18" t="s">
        <v>17</v>
      </c>
      <c r="D114" s="18" t="s">
        <v>18</v>
      </c>
      <c r="E114" s="18">
        <v>3150</v>
      </c>
      <c r="F114" s="18">
        <v>3910</v>
      </c>
      <c r="G114" s="18">
        <f t="shared" si="2"/>
        <v>760</v>
      </c>
      <c r="H114" s="19">
        <f t="shared" si="3"/>
        <v>24.126984126984127</v>
      </c>
      <c r="I114" s="19">
        <f t="shared" si="4"/>
        <v>7.8374755078890385E-2</v>
      </c>
      <c r="J114" s="19">
        <f t="shared" si="6"/>
        <v>0.70691966587604405</v>
      </c>
      <c r="K114" s="23" t="str">
        <f t="shared" si="5"/>
        <v>A</v>
      </c>
    </row>
    <row r="115" spans="3:11">
      <c r="C115" s="18" t="s">
        <v>30</v>
      </c>
      <c r="D115" s="18" t="s">
        <v>31</v>
      </c>
      <c r="E115" s="18">
        <v>2050</v>
      </c>
      <c r="F115" s="18">
        <v>2500</v>
      </c>
      <c r="G115" s="18">
        <f t="shared" si="2"/>
        <v>450</v>
      </c>
      <c r="H115" s="19">
        <f t="shared" si="3"/>
        <v>21.951219512195124</v>
      </c>
      <c r="I115" s="19">
        <f t="shared" si="4"/>
        <v>4.6406104980921938E-2</v>
      </c>
      <c r="J115" s="19">
        <f t="shared" si="6"/>
        <v>0.75332577085696595</v>
      </c>
      <c r="K115" s="23" t="str">
        <f t="shared" si="5"/>
        <v>A</v>
      </c>
    </row>
    <row r="116" spans="3:11">
      <c r="C116" s="18" t="s">
        <v>19</v>
      </c>
      <c r="D116" s="18" t="s">
        <v>20</v>
      </c>
      <c r="E116" s="18">
        <v>2480</v>
      </c>
      <c r="F116" s="18">
        <v>2923</v>
      </c>
      <c r="G116" s="18">
        <f t="shared" si="2"/>
        <v>443</v>
      </c>
      <c r="H116" s="19">
        <f t="shared" si="3"/>
        <v>17.862903225806452</v>
      </c>
      <c r="I116" s="19">
        <f t="shared" si="4"/>
        <v>4.5684232236774258E-2</v>
      </c>
      <c r="J116" s="19">
        <f t="shared" si="6"/>
        <v>0.79901000309374015</v>
      </c>
      <c r="K116" s="23" t="str">
        <f t="shared" si="5"/>
        <v>A</v>
      </c>
    </row>
    <row r="117" spans="3:11">
      <c r="C117" s="18" t="s">
        <v>9</v>
      </c>
      <c r="D117" s="18" t="s">
        <v>10</v>
      </c>
      <c r="E117" s="18">
        <v>2720</v>
      </c>
      <c r="F117" s="18">
        <v>3120</v>
      </c>
      <c r="G117" s="18">
        <f t="shared" si="2"/>
        <v>400</v>
      </c>
      <c r="H117" s="19">
        <f t="shared" si="3"/>
        <v>14.705882352941178</v>
      </c>
      <c r="I117" s="19">
        <f t="shared" si="4"/>
        <v>4.1249871094152832E-2</v>
      </c>
      <c r="J117" s="19">
        <f t="shared" si="6"/>
        <v>0.84025987418789294</v>
      </c>
      <c r="K117" s="23" t="str">
        <f t="shared" si="5"/>
        <v>B</v>
      </c>
    </row>
    <row r="118" spans="3:11">
      <c r="C118" s="18" t="s">
        <v>32</v>
      </c>
      <c r="D118" s="18" t="s">
        <v>33</v>
      </c>
      <c r="E118" s="18">
        <v>2260</v>
      </c>
      <c r="F118" s="18">
        <v>2640</v>
      </c>
      <c r="G118" s="18">
        <f t="shared" si="2"/>
        <v>380</v>
      </c>
      <c r="H118" s="19">
        <f t="shared" si="3"/>
        <v>16.814159292035399</v>
      </c>
      <c r="I118" s="19">
        <f t="shared" si="4"/>
        <v>3.9187377539445192E-2</v>
      </c>
      <c r="J118" s="19">
        <f t="shared" si="6"/>
        <v>0.87944725172733818</v>
      </c>
      <c r="K118" s="23" t="str">
        <f t="shared" si="5"/>
        <v>B</v>
      </c>
    </row>
    <row r="119" spans="3:11">
      <c r="C119" s="18" t="s">
        <v>39</v>
      </c>
      <c r="D119" s="18" t="s">
        <v>39</v>
      </c>
      <c r="E119" s="18">
        <v>800</v>
      </c>
      <c r="F119" s="18">
        <v>990</v>
      </c>
      <c r="G119" s="18">
        <f t="shared" si="2"/>
        <v>190</v>
      </c>
      <c r="H119" s="19">
        <f t="shared" si="3"/>
        <v>23.75</v>
      </c>
      <c r="I119" s="19">
        <f t="shared" si="4"/>
        <v>1.9593688769722596E-2</v>
      </c>
      <c r="J119" s="19">
        <f t="shared" si="6"/>
        <v>0.89904094049706074</v>
      </c>
      <c r="K119" s="23" t="str">
        <f t="shared" si="5"/>
        <v>B</v>
      </c>
    </row>
    <row r="120" spans="3:11">
      <c r="C120" s="18" t="s">
        <v>36</v>
      </c>
      <c r="D120" s="18" t="s">
        <v>37</v>
      </c>
      <c r="E120" s="18">
        <v>1347</v>
      </c>
      <c r="F120" s="18">
        <v>1485</v>
      </c>
      <c r="G120" s="18">
        <f t="shared" si="2"/>
        <v>138</v>
      </c>
      <c r="H120" s="19">
        <f t="shared" si="3"/>
        <v>10.244988864142538</v>
      </c>
      <c r="I120" s="19">
        <f t="shared" si="4"/>
        <v>1.4231205527482726E-2</v>
      </c>
      <c r="J120" s="19">
        <f t="shared" si="6"/>
        <v>0.91327214602454343</v>
      </c>
      <c r="K120" s="23" t="str">
        <f t="shared" si="5"/>
        <v>B</v>
      </c>
    </row>
    <row r="121" spans="3:11">
      <c r="C121" s="18" t="s">
        <v>13</v>
      </c>
      <c r="D121" s="18" t="s">
        <v>14</v>
      </c>
      <c r="E121" s="18">
        <v>880</v>
      </c>
      <c r="F121" s="18">
        <v>1015</v>
      </c>
      <c r="G121" s="18">
        <f t="shared" si="2"/>
        <v>135</v>
      </c>
      <c r="H121" s="19">
        <f t="shared" si="3"/>
        <v>15.340909090909092</v>
      </c>
      <c r="I121" s="19">
        <f t="shared" si="4"/>
        <v>1.3921831494276581E-2</v>
      </c>
      <c r="J121" s="19">
        <f t="shared" si="6"/>
        <v>0.92719397751882004</v>
      </c>
      <c r="K121" s="23" t="str">
        <f t="shared" si="5"/>
        <v>B</v>
      </c>
    </row>
    <row r="122" spans="3:11">
      <c r="C122" s="18" t="s">
        <v>42</v>
      </c>
      <c r="D122" s="18" t="s">
        <v>43</v>
      </c>
      <c r="E122" s="18">
        <v>854</v>
      </c>
      <c r="F122" s="18">
        <v>970</v>
      </c>
      <c r="G122" s="18">
        <f t="shared" si="2"/>
        <v>116</v>
      </c>
      <c r="H122" s="19">
        <f t="shared" si="3"/>
        <v>13.583138173302109</v>
      </c>
      <c r="I122" s="19">
        <f t="shared" si="4"/>
        <v>1.1962462617304321E-2</v>
      </c>
      <c r="J122" s="19">
        <f t="shared" si="6"/>
        <v>0.93915644013612432</v>
      </c>
      <c r="K122" s="23" t="str">
        <f t="shared" si="5"/>
        <v>B</v>
      </c>
    </row>
    <row r="123" spans="3:11">
      <c r="C123" s="18" t="s">
        <v>38</v>
      </c>
      <c r="D123" s="18" t="s">
        <v>38</v>
      </c>
      <c r="E123" s="18">
        <v>590</v>
      </c>
      <c r="F123" s="18">
        <v>700</v>
      </c>
      <c r="G123" s="18">
        <f t="shared" si="2"/>
        <v>110</v>
      </c>
      <c r="H123" s="19">
        <f t="shared" si="3"/>
        <v>18.64406779661017</v>
      </c>
      <c r="I123" s="19">
        <f t="shared" si="4"/>
        <v>1.1343714550892028E-2</v>
      </c>
      <c r="J123" s="19">
        <f t="shared" si="6"/>
        <v>0.95050015468701632</v>
      </c>
      <c r="K123" s="23" t="str">
        <f t="shared" si="5"/>
        <v>C</v>
      </c>
    </row>
    <row r="124" spans="3:11">
      <c r="C124" s="18" t="s">
        <v>26</v>
      </c>
      <c r="D124" s="18" t="s">
        <v>27</v>
      </c>
      <c r="E124" s="18">
        <v>890</v>
      </c>
      <c r="F124" s="18">
        <v>985</v>
      </c>
      <c r="G124" s="18">
        <f t="shared" si="2"/>
        <v>95</v>
      </c>
      <c r="H124" s="19">
        <f t="shared" si="3"/>
        <v>10.674157303370785</v>
      </c>
      <c r="I124" s="19">
        <f t="shared" si="4"/>
        <v>9.7968443848612981E-3</v>
      </c>
      <c r="J124" s="19">
        <f t="shared" si="6"/>
        <v>0.9602969990718776</v>
      </c>
      <c r="K124" s="23" t="str">
        <f t="shared" si="5"/>
        <v>C</v>
      </c>
    </row>
    <row r="125" spans="3:11">
      <c r="C125" s="18" t="s">
        <v>7</v>
      </c>
      <c r="D125" s="18" t="s">
        <v>8</v>
      </c>
      <c r="E125" s="18">
        <v>625</v>
      </c>
      <c r="F125" s="18">
        <v>710</v>
      </c>
      <c r="G125" s="18">
        <f t="shared" si="2"/>
        <v>85</v>
      </c>
      <c r="H125" s="19">
        <f t="shared" si="3"/>
        <v>13.600000000000001</v>
      </c>
      <c r="I125" s="19">
        <f t="shared" si="4"/>
        <v>8.7655976075074766E-3</v>
      </c>
      <c r="J125" s="19">
        <f t="shared" si="6"/>
        <v>0.9690625966793851</v>
      </c>
      <c r="K125" s="23" t="str">
        <f t="shared" si="5"/>
        <v>C</v>
      </c>
    </row>
    <row r="126" spans="3:11">
      <c r="C126" s="18" t="s">
        <v>34</v>
      </c>
      <c r="D126" s="18" t="s">
        <v>35</v>
      </c>
      <c r="E126" s="18">
        <v>540</v>
      </c>
      <c r="F126" s="18">
        <v>623</v>
      </c>
      <c r="G126" s="18">
        <f t="shared" si="2"/>
        <v>83</v>
      </c>
      <c r="H126" s="19">
        <f t="shared" si="3"/>
        <v>15.37037037037037</v>
      </c>
      <c r="I126" s="19">
        <f t="shared" si="4"/>
        <v>8.5593482520367123E-3</v>
      </c>
      <c r="J126" s="19">
        <f t="shared" si="6"/>
        <v>0.97762194493142185</v>
      </c>
      <c r="K126" s="23" t="str">
        <f t="shared" si="5"/>
        <v>C</v>
      </c>
    </row>
    <row r="127" spans="3:11">
      <c r="C127" s="18" t="s">
        <v>40</v>
      </c>
      <c r="D127" s="18" t="s">
        <v>41</v>
      </c>
      <c r="E127" s="18">
        <v>580</v>
      </c>
      <c r="F127" s="18">
        <v>660</v>
      </c>
      <c r="G127" s="18">
        <f t="shared" si="2"/>
        <v>80</v>
      </c>
      <c r="H127" s="19">
        <f t="shared" si="3"/>
        <v>13.793103448275861</v>
      </c>
      <c r="I127" s="19">
        <f t="shared" si="4"/>
        <v>8.2499742188305667E-3</v>
      </c>
      <c r="J127" s="19">
        <f t="shared" si="6"/>
        <v>0.98587191915025241</v>
      </c>
      <c r="K127" s="23" t="str">
        <f t="shared" si="5"/>
        <v>C</v>
      </c>
    </row>
    <row r="128" spans="3:11">
      <c r="C128" s="18" t="s">
        <v>28</v>
      </c>
      <c r="D128" s="18" t="s">
        <v>29</v>
      </c>
      <c r="E128" s="18">
        <v>657</v>
      </c>
      <c r="F128" s="18">
        <v>730</v>
      </c>
      <c r="G128" s="18">
        <f t="shared" si="2"/>
        <v>73</v>
      </c>
      <c r="H128" s="19">
        <f t="shared" si="3"/>
        <v>11.111111111111111</v>
      </c>
      <c r="I128" s="19">
        <f t="shared" si="4"/>
        <v>7.5281014746828917E-3</v>
      </c>
      <c r="J128" s="19">
        <f t="shared" si="6"/>
        <v>0.99340002062493526</v>
      </c>
      <c r="K128" s="23" t="str">
        <f t="shared" si="5"/>
        <v>C</v>
      </c>
    </row>
    <row r="129" spans="3:11">
      <c r="C129" s="18" t="s">
        <v>21</v>
      </c>
      <c r="D129" s="18" t="s">
        <v>21</v>
      </c>
      <c r="E129" s="18">
        <v>560</v>
      </c>
      <c r="F129" s="18">
        <v>624</v>
      </c>
      <c r="G129" s="18">
        <f t="shared" si="2"/>
        <v>64</v>
      </c>
      <c r="H129" s="19">
        <f t="shared" si="3"/>
        <v>11.428571428571429</v>
      </c>
      <c r="I129" s="19">
        <f t="shared" si="4"/>
        <v>6.5999793750644532E-3</v>
      </c>
      <c r="J129" s="19">
        <f t="shared" si="6"/>
        <v>0.99999999999999967</v>
      </c>
      <c r="K129" s="23" t="str">
        <f t="shared" si="5"/>
        <v>C</v>
      </c>
    </row>
  </sheetData>
  <sortState xmlns:xlrd2="http://schemas.microsoft.com/office/spreadsheetml/2017/richdata2" ref="C109:H129">
    <sortCondition descending="1" ref="G109:G129"/>
  </sortState>
  <mergeCells count="5">
    <mergeCell ref="B104:E104"/>
    <mergeCell ref="B27:E27"/>
    <mergeCell ref="B46:E46"/>
    <mergeCell ref="B77:F77"/>
    <mergeCell ref="C1:M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1901-6FC4-4C04-AD46-932561C59620}">
  <dimension ref="A1:N101"/>
  <sheetViews>
    <sheetView tabSelected="1" topLeftCell="B77" workbookViewId="0">
      <selection activeCell="G80" sqref="G80"/>
    </sheetView>
  </sheetViews>
  <sheetFormatPr defaultRowHeight="14.4"/>
  <cols>
    <col min="3" max="3" width="19.21875" bestFit="1" customWidth="1"/>
    <col min="4" max="4" width="15.88671875" bestFit="1" customWidth="1"/>
    <col min="5" max="5" width="10.44140625" bestFit="1" customWidth="1"/>
    <col min="6" max="8" width="19.21875" bestFit="1" customWidth="1"/>
    <col min="9" max="9" width="19.109375" bestFit="1" customWidth="1"/>
    <col min="10" max="10" width="10.44140625" bestFit="1" customWidth="1"/>
    <col min="11" max="11" width="19.21875" bestFit="1" customWidth="1"/>
    <col min="12" max="12" width="15.88671875" bestFit="1" customWidth="1"/>
    <col min="13" max="13" width="10.44140625" bestFit="1" customWidth="1"/>
    <col min="14" max="14" width="19.21875" bestFit="1" customWidth="1"/>
  </cols>
  <sheetData>
    <row r="1" spans="1:7">
      <c r="A1" s="6"/>
      <c r="B1" s="6"/>
    </row>
    <row r="2" spans="1:7" ht="43.2">
      <c r="A2" s="7" t="s">
        <v>47</v>
      </c>
      <c r="B2" s="8"/>
      <c r="F2" s="4" t="s">
        <v>44</v>
      </c>
      <c r="G2" t="s">
        <v>46</v>
      </c>
    </row>
    <row r="3" spans="1:7" ht="43.2">
      <c r="A3" s="7" t="s">
        <v>48</v>
      </c>
      <c r="B3" s="8"/>
      <c r="F3" s="5" t="s">
        <v>53</v>
      </c>
      <c r="G3">
        <v>329696</v>
      </c>
    </row>
    <row r="4" spans="1:7" ht="43.2">
      <c r="A4" s="7" t="s">
        <v>49</v>
      </c>
      <c r="B4" s="8"/>
      <c r="F4" s="5" t="s">
        <v>54</v>
      </c>
      <c r="G4">
        <v>33446</v>
      </c>
    </row>
    <row r="5" spans="1:7" ht="43.2">
      <c r="A5" s="7" t="s">
        <v>50</v>
      </c>
      <c r="B5" s="8"/>
      <c r="F5" s="5" t="s">
        <v>45</v>
      </c>
      <c r="G5">
        <v>363142</v>
      </c>
    </row>
    <row r="6" spans="1:7" ht="43.2">
      <c r="A6" s="7" t="s">
        <v>51</v>
      </c>
      <c r="B6" s="8"/>
    </row>
    <row r="7" spans="1:7" ht="43.2">
      <c r="A7" s="7" t="s">
        <v>52</v>
      </c>
      <c r="B7" s="8"/>
    </row>
    <row r="8" spans="1:7">
      <c r="A8" s="7"/>
      <c r="B8" s="8"/>
    </row>
    <row r="9" spans="1:7">
      <c r="A9" s="7"/>
      <c r="B9" s="8"/>
      <c r="D9" s="4" t="s">
        <v>44</v>
      </c>
      <c r="E9" t="s">
        <v>67</v>
      </c>
      <c r="F9" t="s">
        <v>46</v>
      </c>
    </row>
    <row r="10" spans="1:7">
      <c r="D10" s="5" t="s">
        <v>19</v>
      </c>
      <c r="E10">
        <v>6</v>
      </c>
      <c r="F10">
        <v>14880</v>
      </c>
    </row>
    <row r="11" spans="1:7">
      <c r="D11" s="5" t="s">
        <v>30</v>
      </c>
      <c r="E11">
        <v>2</v>
      </c>
      <c r="F11">
        <v>4100</v>
      </c>
    </row>
    <row r="12" spans="1:7">
      <c r="D12" s="5" t="s">
        <v>22</v>
      </c>
      <c r="E12">
        <v>9</v>
      </c>
      <c r="F12">
        <v>32040</v>
      </c>
    </row>
    <row r="13" spans="1:7">
      <c r="D13" s="5" t="s">
        <v>32</v>
      </c>
      <c r="E13">
        <v>6</v>
      </c>
      <c r="F13">
        <v>13560</v>
      </c>
    </row>
    <row r="14" spans="1:7">
      <c r="D14" s="5" t="s">
        <v>9</v>
      </c>
      <c r="E14">
        <v>8</v>
      </c>
      <c r="F14">
        <v>21760</v>
      </c>
    </row>
    <row r="15" spans="1:7">
      <c r="D15" s="5" t="s">
        <v>39</v>
      </c>
      <c r="E15">
        <v>10</v>
      </c>
      <c r="F15">
        <v>8000</v>
      </c>
    </row>
    <row r="16" spans="1:7">
      <c r="D16" s="5" t="s">
        <v>21</v>
      </c>
      <c r="E16">
        <v>6</v>
      </c>
      <c r="F16">
        <v>3360</v>
      </c>
    </row>
    <row r="17" spans="4:14">
      <c r="D17" s="5" t="s">
        <v>28</v>
      </c>
      <c r="E17">
        <v>7</v>
      </c>
      <c r="F17">
        <v>4599</v>
      </c>
    </row>
    <row r="18" spans="4:14">
      <c r="D18" s="5" t="s">
        <v>13</v>
      </c>
      <c r="E18">
        <v>10</v>
      </c>
      <c r="F18">
        <v>8800</v>
      </c>
    </row>
    <row r="19" spans="4:14">
      <c r="D19" s="5" t="s">
        <v>42</v>
      </c>
      <c r="E19">
        <v>13</v>
      </c>
      <c r="F19">
        <v>11102</v>
      </c>
    </row>
    <row r="20" spans="4:14">
      <c r="D20" s="5" t="s">
        <v>26</v>
      </c>
      <c r="E20">
        <v>10</v>
      </c>
      <c r="F20">
        <v>8900</v>
      </c>
    </row>
    <row r="21" spans="4:14">
      <c r="D21" s="5" t="s">
        <v>40</v>
      </c>
      <c r="E21">
        <v>3</v>
      </c>
      <c r="F21">
        <v>1740</v>
      </c>
    </row>
    <row r="22" spans="4:14">
      <c r="D22" s="5" t="s">
        <v>34</v>
      </c>
      <c r="E22">
        <v>12</v>
      </c>
      <c r="F22">
        <v>6480</v>
      </c>
    </row>
    <row r="23" spans="4:14">
      <c r="D23" s="5" t="s">
        <v>24</v>
      </c>
      <c r="E23">
        <v>8</v>
      </c>
      <c r="F23">
        <v>27000</v>
      </c>
    </row>
    <row r="24" spans="4:14">
      <c r="D24" s="5" t="s">
        <v>17</v>
      </c>
      <c r="E24">
        <v>12</v>
      </c>
      <c r="F24">
        <v>37800</v>
      </c>
    </row>
    <row r="25" spans="4:14">
      <c r="D25" s="5" t="s">
        <v>11</v>
      </c>
      <c r="E25">
        <v>4</v>
      </c>
      <c r="F25">
        <v>14920</v>
      </c>
    </row>
    <row r="26" spans="4:14">
      <c r="D26" s="5" t="s">
        <v>15</v>
      </c>
      <c r="E26">
        <v>13</v>
      </c>
      <c r="F26">
        <v>56290</v>
      </c>
    </row>
    <row r="27" spans="4:14">
      <c r="D27" s="5" t="s">
        <v>36</v>
      </c>
      <c r="E27">
        <v>10</v>
      </c>
      <c r="F27">
        <v>13470</v>
      </c>
    </row>
    <row r="28" spans="4:14">
      <c r="D28" s="5" t="s">
        <v>45</v>
      </c>
      <c r="E28">
        <v>149</v>
      </c>
      <c r="F28">
        <v>288801</v>
      </c>
    </row>
    <row r="31" spans="4:14">
      <c r="L31" s="4" t="s">
        <v>55</v>
      </c>
      <c r="M31" t="s">
        <v>67</v>
      </c>
      <c r="N31" t="s">
        <v>46</v>
      </c>
    </row>
    <row r="32" spans="4:14">
      <c r="L32" s="5" t="s">
        <v>19</v>
      </c>
      <c r="M32">
        <v>4</v>
      </c>
      <c r="N32">
        <v>6892</v>
      </c>
    </row>
    <row r="33" spans="12:14">
      <c r="L33" s="5" t="s">
        <v>30</v>
      </c>
      <c r="M33">
        <v>1</v>
      </c>
      <c r="N33">
        <v>2500</v>
      </c>
    </row>
    <row r="34" spans="12:14">
      <c r="L34" s="5" t="s">
        <v>22</v>
      </c>
      <c r="M34">
        <v>5</v>
      </c>
      <c r="N34">
        <v>9000</v>
      </c>
    </row>
    <row r="35" spans="12:14">
      <c r="L35" s="5" t="s">
        <v>32</v>
      </c>
      <c r="M35">
        <v>10</v>
      </c>
      <c r="N35">
        <v>25400</v>
      </c>
    </row>
    <row r="36" spans="12:14">
      <c r="L36" s="5" t="s">
        <v>9</v>
      </c>
      <c r="M36">
        <v>9</v>
      </c>
      <c r="N36">
        <v>17640</v>
      </c>
    </row>
    <row r="37" spans="12:14">
      <c r="L37" s="5" t="s">
        <v>39</v>
      </c>
      <c r="M37">
        <v>5</v>
      </c>
      <c r="N37">
        <v>4950</v>
      </c>
    </row>
    <row r="38" spans="12:14">
      <c r="L38" s="5" t="s">
        <v>21</v>
      </c>
      <c r="M38">
        <v>4</v>
      </c>
      <c r="N38">
        <v>2496</v>
      </c>
    </row>
    <row r="39" spans="12:14">
      <c r="L39" s="5" t="s">
        <v>28</v>
      </c>
      <c r="M39">
        <v>2</v>
      </c>
      <c r="N39">
        <v>1460</v>
      </c>
    </row>
    <row r="40" spans="12:14">
      <c r="L40" s="5" t="s">
        <v>13</v>
      </c>
      <c r="M40">
        <v>3</v>
      </c>
      <c r="N40">
        <v>3045</v>
      </c>
    </row>
    <row r="41" spans="12:14">
      <c r="L41" s="5" t="s">
        <v>42</v>
      </c>
      <c r="M41">
        <v>16</v>
      </c>
      <c r="N41">
        <v>15520</v>
      </c>
    </row>
    <row r="42" spans="12:14">
      <c r="L42" s="5" t="s">
        <v>26</v>
      </c>
      <c r="M42">
        <v>6</v>
      </c>
      <c r="N42">
        <v>5910</v>
      </c>
    </row>
    <row r="43" spans="12:14">
      <c r="L43" s="5" t="s">
        <v>40</v>
      </c>
      <c r="M43">
        <v>11</v>
      </c>
      <c r="N43">
        <v>7260</v>
      </c>
    </row>
    <row r="44" spans="12:14">
      <c r="L44" s="5" t="s">
        <v>7</v>
      </c>
      <c r="M44">
        <v>5</v>
      </c>
      <c r="N44">
        <v>3550</v>
      </c>
    </row>
    <row r="45" spans="12:14">
      <c r="L45" s="5" t="s">
        <v>34</v>
      </c>
      <c r="M45">
        <v>15</v>
      </c>
      <c r="N45">
        <v>9345</v>
      </c>
    </row>
    <row r="46" spans="12:14">
      <c r="L46" s="5" t="s">
        <v>38</v>
      </c>
      <c r="M46">
        <v>8</v>
      </c>
      <c r="N46">
        <v>5600</v>
      </c>
    </row>
    <row r="47" spans="12:14">
      <c r="L47" s="5" t="s">
        <v>24</v>
      </c>
      <c r="M47">
        <v>10</v>
      </c>
      <c r="N47">
        <v>43100</v>
      </c>
    </row>
    <row r="48" spans="12:14">
      <c r="L48" s="5" t="s">
        <v>17</v>
      </c>
      <c r="M48">
        <v>19</v>
      </c>
      <c r="N48">
        <v>74290</v>
      </c>
    </row>
    <row r="49" spans="3:14">
      <c r="C49" s="4" t="s">
        <v>46</v>
      </c>
      <c r="D49" s="4" t="s">
        <v>57</v>
      </c>
      <c r="L49" s="5" t="s">
        <v>11</v>
      </c>
      <c r="M49">
        <v>5</v>
      </c>
      <c r="N49">
        <v>24700</v>
      </c>
    </row>
    <row r="50" spans="3:14">
      <c r="C50" s="4" t="s">
        <v>44</v>
      </c>
      <c r="D50" t="s">
        <v>53</v>
      </c>
      <c r="E50" t="s">
        <v>54</v>
      </c>
      <c r="F50" t="s">
        <v>45</v>
      </c>
      <c r="L50" s="5" t="s">
        <v>15</v>
      </c>
      <c r="M50">
        <v>13</v>
      </c>
      <c r="N50">
        <v>75400</v>
      </c>
    </row>
    <row r="51" spans="3:14">
      <c r="C51" s="5" t="s">
        <v>19</v>
      </c>
      <c r="D51">
        <v>6892</v>
      </c>
      <c r="F51">
        <v>6892</v>
      </c>
      <c r="L51" s="5" t="s">
        <v>5</v>
      </c>
      <c r="M51">
        <v>9</v>
      </c>
      <c r="N51">
        <v>56700</v>
      </c>
    </row>
    <row r="52" spans="3:14">
      <c r="C52" s="5" t="s">
        <v>30</v>
      </c>
      <c r="E52">
        <v>2500</v>
      </c>
      <c r="F52">
        <v>2500</v>
      </c>
      <c r="L52" s="5" t="s">
        <v>36</v>
      </c>
      <c r="M52">
        <v>7</v>
      </c>
      <c r="N52">
        <v>10395</v>
      </c>
    </row>
    <row r="53" spans="3:14">
      <c r="C53" s="5" t="s">
        <v>22</v>
      </c>
      <c r="D53">
        <v>7200</v>
      </c>
      <c r="E53">
        <v>1800</v>
      </c>
      <c r="F53">
        <v>9000</v>
      </c>
      <c r="L53" s="5" t="s">
        <v>45</v>
      </c>
      <c r="M53">
        <v>167</v>
      </c>
      <c r="N53">
        <v>405153</v>
      </c>
    </row>
    <row r="54" spans="3:14">
      <c r="C54" s="5" t="s">
        <v>32</v>
      </c>
      <c r="D54">
        <v>22860</v>
      </c>
      <c r="E54">
        <v>2540</v>
      </c>
      <c r="F54">
        <v>25400</v>
      </c>
    </row>
    <row r="55" spans="3:14">
      <c r="C55" s="5" t="s">
        <v>9</v>
      </c>
      <c r="D55">
        <v>11760</v>
      </c>
      <c r="E55">
        <v>5880</v>
      </c>
      <c r="F55">
        <v>17640</v>
      </c>
    </row>
    <row r="56" spans="3:14">
      <c r="C56" s="5" t="s">
        <v>39</v>
      </c>
      <c r="D56">
        <v>3960</v>
      </c>
      <c r="E56">
        <v>990</v>
      </c>
      <c r="F56">
        <v>4950</v>
      </c>
    </row>
    <row r="57" spans="3:14">
      <c r="C57" s="5" t="s">
        <v>21</v>
      </c>
      <c r="D57">
        <v>2496</v>
      </c>
      <c r="F57">
        <v>2496</v>
      </c>
    </row>
    <row r="58" spans="3:14">
      <c r="C58" s="5" t="s">
        <v>28</v>
      </c>
      <c r="D58">
        <v>1460</v>
      </c>
      <c r="F58">
        <v>1460</v>
      </c>
    </row>
    <row r="59" spans="3:14">
      <c r="C59" s="5" t="s">
        <v>13</v>
      </c>
      <c r="D59">
        <v>2030</v>
      </c>
      <c r="E59">
        <v>1015</v>
      </c>
      <c r="F59">
        <v>3045</v>
      </c>
    </row>
    <row r="60" spans="3:14">
      <c r="C60" s="5" t="s">
        <v>42</v>
      </c>
      <c r="D60">
        <v>12610</v>
      </c>
      <c r="E60">
        <v>970</v>
      </c>
      <c r="F60">
        <v>13580</v>
      </c>
    </row>
    <row r="61" spans="3:14">
      <c r="C61" s="5" t="s">
        <v>26</v>
      </c>
      <c r="D61">
        <v>3940</v>
      </c>
      <c r="E61">
        <v>985</v>
      </c>
      <c r="F61">
        <v>4925</v>
      </c>
    </row>
    <row r="62" spans="3:14">
      <c r="C62" s="5" t="s">
        <v>40</v>
      </c>
      <c r="D62">
        <v>1320</v>
      </c>
      <c r="F62">
        <v>1320</v>
      </c>
    </row>
    <row r="63" spans="3:14">
      <c r="C63" s="5" t="s">
        <v>7</v>
      </c>
      <c r="D63">
        <v>3550</v>
      </c>
      <c r="F63">
        <v>3550</v>
      </c>
    </row>
    <row r="64" spans="3:14">
      <c r="C64" s="5" t="s">
        <v>34</v>
      </c>
      <c r="D64">
        <v>6853</v>
      </c>
      <c r="E64">
        <v>1246</v>
      </c>
      <c r="F64">
        <v>8099</v>
      </c>
    </row>
    <row r="65" spans="2:7">
      <c r="C65" s="5" t="s">
        <v>38</v>
      </c>
      <c r="D65">
        <v>2800</v>
      </c>
      <c r="E65">
        <v>1400</v>
      </c>
      <c r="F65">
        <v>4200</v>
      </c>
    </row>
    <row r="66" spans="2:7">
      <c r="C66" s="5" t="s">
        <v>24</v>
      </c>
      <c r="D66">
        <v>43100</v>
      </c>
      <c r="F66">
        <v>43100</v>
      </c>
    </row>
    <row r="67" spans="2:7">
      <c r="C67" s="5" t="s">
        <v>17</v>
      </c>
      <c r="D67">
        <v>66470</v>
      </c>
      <c r="E67">
        <v>7820</v>
      </c>
      <c r="F67">
        <v>74290</v>
      </c>
    </row>
    <row r="68" spans="2:7">
      <c r="C68" s="5" t="s">
        <v>11</v>
      </c>
      <c r="D68">
        <v>24700</v>
      </c>
      <c r="F68">
        <v>24700</v>
      </c>
    </row>
    <row r="69" spans="2:7">
      <c r="C69" s="5" t="s">
        <v>15</v>
      </c>
      <c r="D69">
        <v>63800</v>
      </c>
      <c r="F69">
        <v>63800</v>
      </c>
    </row>
    <row r="70" spans="2:7">
      <c r="C70" s="5" t="s">
        <v>5</v>
      </c>
      <c r="D70">
        <v>31500</v>
      </c>
      <c r="E70">
        <v>6300</v>
      </c>
      <c r="F70">
        <v>37800</v>
      </c>
    </row>
    <row r="71" spans="2:7">
      <c r="C71" s="5" t="s">
        <v>36</v>
      </c>
      <c r="D71">
        <v>10395</v>
      </c>
      <c r="F71">
        <v>10395</v>
      </c>
    </row>
    <row r="72" spans="2:7">
      <c r="C72" s="5" t="s">
        <v>45</v>
      </c>
      <c r="D72">
        <v>329696</v>
      </c>
      <c r="E72">
        <v>33446</v>
      </c>
      <c r="F72">
        <v>363142</v>
      </c>
    </row>
    <row r="77" spans="2:7" ht="23.4">
      <c r="B77" s="10" t="s">
        <v>58</v>
      </c>
    </row>
    <row r="79" spans="2:7">
      <c r="C79" s="9" t="s">
        <v>44</v>
      </c>
      <c r="D79" s="9" t="s">
        <v>46</v>
      </c>
      <c r="E79" s="11" t="s">
        <v>59</v>
      </c>
      <c r="F79" s="6" t="s">
        <v>60</v>
      </c>
      <c r="G79" s="9" t="s">
        <v>61</v>
      </c>
    </row>
    <row r="80" spans="2:7">
      <c r="C80" t="s">
        <v>24</v>
      </c>
      <c r="D80">
        <v>176710</v>
      </c>
      <c r="E80">
        <f>D80/SUM($D$80:$D$100)</f>
        <v>0.15340075524111291</v>
      </c>
      <c r="F80" s="12">
        <f>E80</f>
        <v>0.15340075524111291</v>
      </c>
      <c r="G80" t="str">
        <f>IF(F80&lt;=0.8,"A",IF(F80&lt;=0.95,"B","C"))</f>
        <v>A</v>
      </c>
    </row>
    <row r="81" spans="3:7">
      <c r="C81" t="s">
        <v>17</v>
      </c>
      <c r="D81">
        <v>163440</v>
      </c>
      <c r="E81">
        <f t="shared" ref="E81:E100" si="0">D81/SUM($D$80:$D$100)</f>
        <v>0.14188115803637311</v>
      </c>
      <c r="F81" s="12">
        <f>E81+F80</f>
        <v>0.29528191327748599</v>
      </c>
      <c r="G81" t="str">
        <f t="shared" ref="G81:G100" si="1">IF(F81&lt;=0.8,"A",IF(F81&lt;=0.95,"B","C"))</f>
        <v>A</v>
      </c>
    </row>
    <row r="82" spans="3:7">
      <c r="C82" t="s">
        <v>11</v>
      </c>
      <c r="D82">
        <v>143550</v>
      </c>
      <c r="E82">
        <f t="shared" si="0"/>
        <v>0.12461478362776163</v>
      </c>
      <c r="F82" s="12">
        <f t="shared" ref="F82:F100" si="2">E82+F81</f>
        <v>0.41989669690524761</v>
      </c>
      <c r="G82" t="str">
        <f t="shared" si="1"/>
        <v>A</v>
      </c>
    </row>
    <row r="83" spans="3:7">
      <c r="C83" t="s">
        <v>15</v>
      </c>
      <c r="D83">
        <v>133400</v>
      </c>
      <c r="E83">
        <f t="shared" si="0"/>
        <v>0.11580363731064716</v>
      </c>
      <c r="F83" s="12">
        <f t="shared" si="2"/>
        <v>0.5357003342158948</v>
      </c>
      <c r="G83" t="str">
        <f t="shared" si="1"/>
        <v>A</v>
      </c>
    </row>
    <row r="84" spans="3:7">
      <c r="C84" t="s">
        <v>5</v>
      </c>
      <c r="D84">
        <v>88200</v>
      </c>
      <c r="E84">
        <f t="shared" si="0"/>
        <v>7.6565823169408395E-2</v>
      </c>
      <c r="F84" s="12">
        <f t="shared" si="2"/>
        <v>0.61226615738530321</v>
      </c>
      <c r="G84" t="str">
        <f t="shared" si="1"/>
        <v>A</v>
      </c>
    </row>
    <row r="85" spans="3:7">
      <c r="C85" t="s">
        <v>30</v>
      </c>
      <c r="D85">
        <v>57500</v>
      </c>
      <c r="E85">
        <f t="shared" si="0"/>
        <v>4.9915360909761709E-2</v>
      </c>
      <c r="F85" s="12">
        <f t="shared" si="2"/>
        <v>0.66218151829506489</v>
      </c>
      <c r="G85" t="str">
        <f t="shared" si="1"/>
        <v>A</v>
      </c>
    </row>
    <row r="86" spans="3:7">
      <c r="C86" t="s">
        <v>32</v>
      </c>
      <c r="D86">
        <v>40640</v>
      </c>
      <c r="E86">
        <f t="shared" si="0"/>
        <v>3.5279308997786363E-2</v>
      </c>
      <c r="F86" s="12">
        <f t="shared" si="2"/>
        <v>0.6974608272928513</v>
      </c>
      <c r="G86" t="str">
        <f t="shared" si="1"/>
        <v>A</v>
      </c>
    </row>
    <row r="87" spans="3:7">
      <c r="C87" t="s">
        <v>36</v>
      </c>
      <c r="D87">
        <v>40600</v>
      </c>
      <c r="E87">
        <f t="shared" si="0"/>
        <v>3.5244585268457834E-2</v>
      </c>
      <c r="F87" s="12">
        <f t="shared" si="2"/>
        <v>0.73270541256130917</v>
      </c>
      <c r="G87" t="str">
        <f t="shared" si="1"/>
        <v>A</v>
      </c>
    </row>
    <row r="88" spans="3:7">
      <c r="C88" t="s">
        <v>19</v>
      </c>
      <c r="D88">
        <v>38760</v>
      </c>
      <c r="E88">
        <f t="shared" si="0"/>
        <v>3.364729371934546E-2</v>
      </c>
      <c r="F88" s="12">
        <f t="shared" si="2"/>
        <v>0.76635270628065466</v>
      </c>
      <c r="G88" t="str">
        <f t="shared" si="1"/>
        <v>A</v>
      </c>
    </row>
    <row r="89" spans="3:7">
      <c r="C89" t="s">
        <v>9</v>
      </c>
      <c r="D89">
        <v>35280</v>
      </c>
      <c r="E89">
        <f t="shared" si="0"/>
        <v>3.0626329267763357E-2</v>
      </c>
      <c r="F89" s="12">
        <f t="shared" si="2"/>
        <v>0.79697903554841798</v>
      </c>
      <c r="G89" t="str">
        <f t="shared" si="1"/>
        <v>A</v>
      </c>
    </row>
    <row r="90" spans="3:7">
      <c r="C90" t="s">
        <v>22</v>
      </c>
      <c r="D90">
        <v>30240</v>
      </c>
      <c r="E90">
        <f t="shared" si="0"/>
        <v>2.6251139372368594E-2</v>
      </c>
      <c r="F90" s="12">
        <f t="shared" si="2"/>
        <v>0.82323017492078654</v>
      </c>
      <c r="G90" t="str">
        <f t="shared" si="1"/>
        <v>B</v>
      </c>
    </row>
    <row r="91" spans="3:7">
      <c r="C91" t="s">
        <v>42</v>
      </c>
      <c r="D91">
        <v>28710</v>
      </c>
      <c r="E91">
        <f t="shared" si="0"/>
        <v>2.4922956725552323E-2</v>
      </c>
      <c r="F91" s="12">
        <f t="shared" si="2"/>
        <v>0.84815313164633888</v>
      </c>
      <c r="G91" t="str">
        <f t="shared" si="1"/>
        <v>B</v>
      </c>
    </row>
    <row r="92" spans="3:7">
      <c r="C92" t="s">
        <v>26</v>
      </c>
      <c r="D92">
        <v>27550</v>
      </c>
      <c r="E92">
        <f t="shared" si="0"/>
        <v>2.3915968575024957E-2</v>
      </c>
      <c r="F92" s="12">
        <f t="shared" si="2"/>
        <v>0.87206910022136386</v>
      </c>
      <c r="G92" t="str">
        <f t="shared" si="1"/>
        <v>B</v>
      </c>
    </row>
    <row r="93" spans="3:7">
      <c r="C93" t="s">
        <v>38</v>
      </c>
      <c r="D93">
        <v>25200</v>
      </c>
      <c r="E93">
        <f t="shared" si="0"/>
        <v>2.1875949476973827E-2</v>
      </c>
      <c r="F93" s="12">
        <f t="shared" si="2"/>
        <v>0.89394504969833766</v>
      </c>
      <c r="G93" t="str">
        <f t="shared" si="1"/>
        <v>B</v>
      </c>
    </row>
    <row r="94" spans="3:7">
      <c r="C94" t="s">
        <v>39</v>
      </c>
      <c r="D94">
        <v>24750</v>
      </c>
      <c r="E94">
        <f t="shared" si="0"/>
        <v>2.1485307522027867E-2</v>
      </c>
      <c r="F94" s="12">
        <f t="shared" si="2"/>
        <v>0.91543035722036548</v>
      </c>
      <c r="G94" t="str">
        <f t="shared" si="1"/>
        <v>B</v>
      </c>
    </row>
    <row r="95" spans="3:7">
      <c r="C95" t="s">
        <v>34</v>
      </c>
      <c r="D95">
        <v>24180</v>
      </c>
      <c r="E95">
        <f t="shared" si="0"/>
        <v>2.0990494379096315E-2</v>
      </c>
      <c r="F95" s="12">
        <f t="shared" si="2"/>
        <v>0.93642085159946176</v>
      </c>
      <c r="G95" t="str">
        <f t="shared" si="1"/>
        <v>B</v>
      </c>
    </row>
    <row r="96" spans="3:7">
      <c r="C96" t="s">
        <v>13</v>
      </c>
      <c r="D96">
        <v>21340</v>
      </c>
      <c r="E96">
        <f t="shared" si="0"/>
        <v>1.8525109596770693E-2</v>
      </c>
      <c r="F96" s="12">
        <f t="shared" si="2"/>
        <v>0.95494596119623243</v>
      </c>
      <c r="G96" t="str">
        <f t="shared" si="1"/>
        <v>C</v>
      </c>
    </row>
    <row r="97" spans="3:7">
      <c r="C97" t="s">
        <v>40</v>
      </c>
      <c r="D97">
        <v>15840</v>
      </c>
      <c r="E97">
        <f t="shared" si="0"/>
        <v>1.3750596814097835E-2</v>
      </c>
      <c r="F97" s="12">
        <f t="shared" si="2"/>
        <v>0.96869655801033028</v>
      </c>
      <c r="G97" t="str">
        <f t="shared" si="1"/>
        <v>C</v>
      </c>
    </row>
    <row r="98" spans="3:7">
      <c r="C98" t="s">
        <v>21</v>
      </c>
      <c r="D98">
        <v>15400</v>
      </c>
      <c r="E98">
        <f t="shared" si="0"/>
        <v>1.3368635791484005E-2</v>
      </c>
      <c r="F98" s="12">
        <f t="shared" si="2"/>
        <v>0.98206519380181423</v>
      </c>
      <c r="G98" t="str">
        <f t="shared" si="1"/>
        <v>C</v>
      </c>
    </row>
    <row r="99" spans="3:7">
      <c r="C99" t="s">
        <v>7</v>
      </c>
      <c r="D99">
        <v>11360</v>
      </c>
      <c r="E99">
        <f t="shared" si="0"/>
        <v>9.8615391293024879E-3</v>
      </c>
      <c r="F99" s="12">
        <f t="shared" si="2"/>
        <v>0.99192673293111677</v>
      </c>
      <c r="G99" t="str">
        <f t="shared" si="1"/>
        <v>C</v>
      </c>
    </row>
    <row r="100" spans="3:7">
      <c r="C100" t="s">
        <v>28</v>
      </c>
      <c r="D100">
        <v>9300</v>
      </c>
      <c r="E100">
        <f t="shared" si="0"/>
        <v>8.073267068883198E-3</v>
      </c>
      <c r="F100" s="12">
        <f t="shared" si="2"/>
        <v>1</v>
      </c>
      <c r="G100" t="str">
        <f t="shared" si="1"/>
        <v>C</v>
      </c>
    </row>
    <row r="101" spans="3:7">
      <c r="C101" s="9"/>
      <c r="D101" s="9"/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"/>
  <sheetViews>
    <sheetView workbookViewId="0">
      <selection activeCell="G18" sqref="G1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Sale</vt:lpstr>
      <vt:lpstr>Sheet2</vt:lpstr>
      <vt:lpstr>Summary</vt:lpstr>
      <vt:lpstr>Retail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dcterms:created xsi:type="dcterms:W3CDTF">2025-10-03T07:10:25Z</dcterms:created>
  <dcterms:modified xsi:type="dcterms:W3CDTF">2025-10-27T15:24:18Z</dcterms:modified>
</cp:coreProperties>
</file>