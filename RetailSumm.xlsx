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8_{5CC58C94-99B7-407E-8CA5-B00EEFB67182}" xr6:coauthVersionLast="47" xr6:coauthVersionMax="47" xr10:uidLastSave="{00000000-0000-0000-0000-000000000000}"/>
  <bookViews>
    <workbookView xWindow="-23148" yWindow="-96" windowWidth="23256" windowHeight="12456" xr2:uid="{C5285146-547D-4831-9D26-EB0BC856A44C}"/>
  </bookViews>
  <sheets>
    <sheet name="Retail Summary" sheetId="1" r:id="rId1"/>
  </sheets>
  <calcPr calcId="191029"/>
  <pivotCaches>
    <pivotCache cacheId="1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G15" i="1"/>
  <c r="G14" i="1"/>
  <c r="G13" i="1"/>
  <c r="G12" i="1"/>
  <c r="G9" i="1"/>
  <c r="G7" i="1"/>
  <c r="G16" i="1" s="1"/>
  <c r="F19" i="1" s="1"/>
  <c r="F21" i="1" s="1"/>
</calcChain>
</file>

<file path=xl/sharedStrings.xml><?xml version="1.0" encoding="utf-8"?>
<sst xmlns="http://schemas.openxmlformats.org/spreadsheetml/2006/main" count="43" uniqueCount="25">
  <si>
    <t>Row Labels</t>
  </si>
  <si>
    <t>Sum of Profit (₹)</t>
  </si>
  <si>
    <t>Raw Material Profit</t>
  </si>
  <si>
    <t>Bed - A</t>
  </si>
  <si>
    <t>Bed - C</t>
  </si>
  <si>
    <t>Bed - F</t>
  </si>
  <si>
    <t xml:space="preserve"> </t>
  </si>
  <si>
    <t>Chair ( 4 Set ) - A</t>
  </si>
  <si>
    <t>Sofa - E</t>
  </si>
  <si>
    <t>Sofa - B and Centre_Table - A</t>
  </si>
  <si>
    <t>Sofa - C and Centre_Table - C</t>
  </si>
  <si>
    <t>Center_Table - C and Chair - B</t>
  </si>
  <si>
    <t>Center_Table - C and Chair - A</t>
  </si>
  <si>
    <t>Sofa - A and Centre_Table - B</t>
  </si>
  <si>
    <t>Chair (6 Set) - DA</t>
  </si>
  <si>
    <t>Chair ( 6 set ) - DC</t>
  </si>
  <si>
    <t>Grand Total</t>
  </si>
  <si>
    <t>Profit after Raw Material Cost (As Raw Material Profit is already calcuated in Raw summary)</t>
  </si>
  <si>
    <t>Total Raw Material Profit</t>
  </si>
  <si>
    <t>Grand Total Profit of 4 months</t>
  </si>
  <si>
    <t>Monthly Sales Trend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</si>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</sst>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applyFont="1" applyAlignment="1">
      <alignment vertical="center" wrapText="1"/>
    </xf>
    <xf numFmtId="0" fontId="0" fillId="4" borderId="0" xfId="0" applyFill="1"/>
    <xf numFmtId="0" fontId="3" fillId="3" borderId="0" xfId="0" applyFont="1" applyFill="1"/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6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[RetailSumm.xlsx]Retail Summary!PivotTable10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46981627296589"/>
          <c:y val="0.22161818314377368"/>
          <c:w val="0.7092519685039370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'Retail Summary'!$C$27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'Retail Summary'!$B$28:$B$32</c:f>
              <c:strCache>
                <c:ptCount val="4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'Retail Summary'!$C$28:$C$32</c:f>
              <c:numCache>
                <c:formatCode>General</c:formatCode>
                <c:ptCount val="4"/>
                <c:pt idx="0">
                  <c:v>6495</c:v>
                </c:pt>
                <c:pt idx="1">
                  <c:v>6525</c:v>
                </c:pt>
                <c:pt idx="2">
                  <c:v>7610</c:v>
                </c:pt>
                <c:pt idx="3">
                  <c:v>14380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6-4B9F-9771-F092D58E7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369247"/>
        <c:axId val="1350367327"/>
      </c:lineChart>
      <c:catAx>
        <c:axId val="135036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7327"/>
        <c:crosses val="autoZero"/>
        <c:auto val="1"/>
        <c:lblAlgn val="ctr"/>
        <c:lblOffset val="100"/>
        <c:noMultiLvlLbl val="0"/>
      </c:catAx>
      <c:valAx>
        <c:axId val="13503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26</xdr:row>
      <xdr:rowOff>3810</xdr:rowOff>
    </xdr:from>
    <xdr:to>
      <xdr:col>8</xdr:col>
      <xdr:colOff>182880</xdr:colOff>
      <xdr:row>37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08D7C-884A-42F0-8297-2163421F2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C1E427FFB498F9D/Documents/sale_purchase_may_aug1(AutoRecovered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69.650154861112" createdVersion="8" refreshedVersion="8" minRefreshableVersion="3" recordCount="12" xr:uid="{81A7578D-CD91-4AD4-B1D9-E50C96E258B0}">
  <cacheSource type="worksheet">
    <worksheetSource ref="A1:R13" sheet="Retail Sale" r:id="rId2"/>
  </cacheSource>
  <cacheFields count="20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19"/>
    </cacheField>
    <cacheField name="Retail Invoice" numFmtId="0">
      <sharedItems/>
    </cacheField>
    <cacheField name="Product Name" numFmtId="0">
      <sharedItems count="22">
        <s v="Bed - A"/>
        <s v="Sofa - B and Centre_Table - A"/>
        <s v="Chair (6 Set) - DA"/>
        <s v="Bed - C"/>
        <s v="Sofa - C and Centre_Table - C"/>
        <s v="Chair ( 4 Set ) - A"/>
        <s v="Center_Table - C and Chair - A"/>
        <s v="Sofa - E"/>
        <s v="Bed - F"/>
        <s v="Chair ( 6 set ) - DC"/>
        <s v="Sofa - A and Centre_Table - B"/>
        <s v="Center_Table - C and Chair - B"/>
        <s v="Chair (6 Set) - A" u="1"/>
        <s v="Chair ( 6 set ) - C" u="1"/>
        <s v="Sofa - A and Centre_Table (B)" u="1"/>
        <s v="Center_Table - C and Chair -A" u="1"/>
        <s v="Sofa - A Centre_Table (B)" u="1"/>
        <s v="Sofa - B with Centre Table C" u="1"/>
        <s v="Sofa - C" u="1"/>
        <s v="Center Table - A" u="1"/>
        <s v="Sofa - A" u="1"/>
        <s v="Center Table - C" u="1"/>
      </sharedItems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3925"/>
    </cacheField>
    <cacheField name="Profit Margin (%)" numFmtId="2">
      <sharedItems containsSemiMixedTypes="0" containsString="0" containsNumber="1" minValue="15.736040609137056" maxValue="23.853211009174313"/>
    </cacheField>
    <cacheField name="Customer Type" numFmtId="0">
      <sharedItems/>
    </cacheField>
    <cacheField name="Remarks" numFmtId="0">
      <sharedItems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x v="0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</r>
  <r>
    <x v="1"/>
    <s v="RS102"/>
    <x v="1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</r>
  <r>
    <x v="2"/>
    <s v="RS103"/>
    <x v="2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</r>
  <r>
    <x v="3"/>
    <s v="RS104"/>
    <x v="3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</r>
  <r>
    <x v="4"/>
    <s v="RS105"/>
    <x v="4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</r>
  <r>
    <x v="5"/>
    <s v="RS105"/>
    <x v="5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</r>
  <r>
    <x v="6"/>
    <s v="RS107"/>
    <x v="6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</r>
  <r>
    <x v="7"/>
    <s v="RS108"/>
    <x v="7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</r>
  <r>
    <x v="8"/>
    <s v="RS109"/>
    <x v="8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</r>
  <r>
    <x v="9"/>
    <s v="RS110"/>
    <x v="9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</r>
  <r>
    <x v="10"/>
    <s v="RS111"/>
    <x v="10"/>
    <s v="SSF (A), CTF (B)"/>
    <n v="4615"/>
    <n v="0"/>
    <n v="2500"/>
    <n v="0"/>
    <n v="2800"/>
    <n v="4000"/>
    <n v="3500"/>
    <n v="1000"/>
    <n v="18415"/>
    <n v="22300"/>
    <n v="3885"/>
    <n v="21.096931849036114"/>
    <s v="Retail"/>
    <s v="Paired with center table"/>
  </r>
  <r>
    <x v="11"/>
    <s v="RS112"/>
    <x v="11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D285D-9D1F-49AC-B044-12C6A590DB19}" name="PivotTable7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6" firstHeaderRow="1" firstDataRow="1" firstDataCol="1"/>
  <pivotFields count="20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23">
        <item x="0"/>
        <item x="3"/>
        <item x="8"/>
        <item m="1" x="19"/>
        <item m="1" x="21"/>
        <item x="5"/>
        <item m="1" x="13"/>
        <item m="1" x="12"/>
        <item m="1" x="20"/>
        <item m="1" x="17"/>
        <item m="1" x="18"/>
        <item x="7"/>
        <item x="1"/>
        <item x="4"/>
        <item m="1" x="15"/>
        <item m="1" x="16"/>
        <item x="11"/>
        <item m="1" x="14"/>
        <item x="6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5"/>
    </i>
    <i>
      <x v="11"/>
    </i>
    <i>
      <x v="12"/>
    </i>
    <i>
      <x v="13"/>
    </i>
    <i>
      <x v="16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Profit (₹)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93E4F-9F74-4F18-8ACD-6EF1136CD5B1}" name="PivotTable10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7:C32" firstHeaderRow="1" firstDataRow="1" firstDataCol="1"/>
  <pivotFields count="20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23">
        <item x="0"/>
        <item x="3"/>
        <item x="8"/>
        <item m="1" x="19"/>
        <item m="1" x="21"/>
        <item x="5"/>
        <item m="1" x="13"/>
        <item m="1" x="12"/>
        <item m="1" x="20"/>
        <item m="1" x="17"/>
        <item m="1" x="18"/>
        <item x="7"/>
        <item x="1"/>
        <item x="4"/>
        <item m="1" x="15"/>
        <item m="1" x="16"/>
        <item x="11"/>
        <item m="1" x="14"/>
        <item x="6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0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 (₹)" fld="14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9" type="button" dataOnly="0" labelOnly="1" outline="0" axis="axisRow" fieldPosition="0"/>
    </format>
    <format dxfId="3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9B86-CA57-4A8A-91E7-C69246EA1DE6}">
  <dimension ref="B3:L32"/>
  <sheetViews>
    <sheetView tabSelected="1" workbookViewId="0">
      <selection activeCell="G23" sqref="G23"/>
    </sheetView>
  </sheetViews>
  <sheetFormatPr defaultRowHeight="14.4"/>
  <cols>
    <col min="2" max="2" width="25.77734375" bestFit="1" customWidth="1"/>
    <col min="3" max="3" width="15" bestFit="1" customWidth="1"/>
    <col min="5" max="5" width="25.77734375" bestFit="1" customWidth="1"/>
    <col min="6" max="6" width="15" bestFit="1" customWidth="1"/>
  </cols>
  <sheetData>
    <row r="3" spans="2:12">
      <c r="B3" t="s">
        <v>0</v>
      </c>
      <c r="C3" t="s">
        <v>1</v>
      </c>
      <c r="E3" s="1" t="s">
        <v>0</v>
      </c>
      <c r="F3" s="1" t="s">
        <v>1</v>
      </c>
      <c r="G3" s="1" t="s">
        <v>2</v>
      </c>
      <c r="H3" s="1"/>
    </row>
    <row r="4" spans="2:12">
      <c r="B4" s="2" t="s">
        <v>3</v>
      </c>
      <c r="C4">
        <v>3027</v>
      </c>
      <c r="E4" s="3" t="s">
        <v>3</v>
      </c>
      <c r="F4" s="3">
        <v>3027</v>
      </c>
      <c r="G4" s="3">
        <v>443</v>
      </c>
      <c r="H4" s="3"/>
    </row>
    <row r="5" spans="2:12">
      <c r="B5" s="2" t="s">
        <v>4</v>
      </c>
      <c r="C5">
        <v>3925</v>
      </c>
      <c r="E5" s="3" t="s">
        <v>4</v>
      </c>
      <c r="F5" s="3">
        <v>3925</v>
      </c>
      <c r="G5" s="3">
        <v>965</v>
      </c>
      <c r="H5" s="3"/>
    </row>
    <row r="6" spans="2:12">
      <c r="B6" s="2" t="s">
        <v>5</v>
      </c>
      <c r="C6">
        <v>2330</v>
      </c>
      <c r="E6" s="3" t="s">
        <v>5</v>
      </c>
      <c r="F6" s="3">
        <v>2330</v>
      </c>
      <c r="G6" s="3">
        <v>400</v>
      </c>
      <c r="H6" s="3"/>
      <c r="L6" t="s">
        <v>6</v>
      </c>
    </row>
    <row r="7" spans="2:12">
      <c r="B7" s="2" t="s">
        <v>7</v>
      </c>
      <c r="C7">
        <v>1500</v>
      </c>
      <c r="E7" s="3" t="s">
        <v>7</v>
      </c>
      <c r="F7" s="3">
        <v>1500</v>
      </c>
      <c r="G7" s="3">
        <f>150*4</f>
        <v>600</v>
      </c>
      <c r="H7" s="3"/>
    </row>
    <row r="8" spans="2:12">
      <c r="B8" s="2" t="s">
        <v>8</v>
      </c>
      <c r="C8">
        <v>2350</v>
      </c>
      <c r="E8" s="3" t="s">
        <v>8</v>
      </c>
      <c r="F8" s="3">
        <v>2350</v>
      </c>
      <c r="G8" s="3">
        <v>264</v>
      </c>
      <c r="H8" s="3"/>
    </row>
    <row r="9" spans="2:12">
      <c r="B9" s="2" t="s">
        <v>9</v>
      </c>
      <c r="C9">
        <v>3468</v>
      </c>
      <c r="E9" s="3" t="s">
        <v>9</v>
      </c>
      <c r="F9" s="3">
        <v>3468</v>
      </c>
      <c r="G9" s="3">
        <f>150*6</f>
        <v>900</v>
      </c>
      <c r="H9" s="3"/>
    </row>
    <row r="10" spans="2:12">
      <c r="B10" s="2" t="s">
        <v>10</v>
      </c>
      <c r="C10">
        <v>3785</v>
      </c>
      <c r="E10" s="3" t="s">
        <v>10</v>
      </c>
      <c r="F10" s="3">
        <v>3785</v>
      </c>
      <c r="G10" s="3">
        <v>264</v>
      </c>
      <c r="H10" s="3"/>
    </row>
    <row r="11" spans="2:12">
      <c r="B11" s="2" t="s">
        <v>11</v>
      </c>
      <c r="C11">
        <v>3475</v>
      </c>
      <c r="E11" s="3" t="s">
        <v>11</v>
      </c>
      <c r="F11" s="3">
        <v>3475</v>
      </c>
      <c r="G11" s="3">
        <v>541</v>
      </c>
      <c r="H11" s="3"/>
    </row>
    <row r="12" spans="2:12">
      <c r="B12" s="2" t="s">
        <v>12</v>
      </c>
      <c r="C12">
        <v>2325</v>
      </c>
      <c r="E12" s="3" t="s">
        <v>12</v>
      </c>
      <c r="F12" s="3">
        <v>2325</v>
      </c>
      <c r="G12" s="3">
        <f>93+150</f>
        <v>243</v>
      </c>
      <c r="H12" s="3"/>
    </row>
    <row r="13" spans="2:12">
      <c r="B13" s="2" t="s">
        <v>13</v>
      </c>
      <c r="C13">
        <v>3885</v>
      </c>
      <c r="E13" s="3" t="s">
        <v>13</v>
      </c>
      <c r="F13" s="3">
        <v>3885</v>
      </c>
      <c r="G13" s="3">
        <f>525+135</f>
        <v>660</v>
      </c>
      <c r="H13" s="3"/>
    </row>
    <row r="14" spans="2:12">
      <c r="B14" s="2" t="s">
        <v>14</v>
      </c>
      <c r="C14">
        <v>2600</v>
      </c>
      <c r="E14" s="3" t="s">
        <v>14</v>
      </c>
      <c r="F14" s="3">
        <v>2600</v>
      </c>
      <c r="G14" s="3">
        <f>95*6</f>
        <v>570</v>
      </c>
      <c r="H14" s="3"/>
    </row>
    <row r="15" spans="2:12">
      <c r="B15" s="2" t="s">
        <v>15</v>
      </c>
      <c r="C15">
        <v>2340</v>
      </c>
      <c r="E15" s="3" t="s">
        <v>15</v>
      </c>
      <c r="F15" s="3">
        <v>2340</v>
      </c>
      <c r="G15" s="3">
        <f>85*6</f>
        <v>510</v>
      </c>
      <c r="H15" s="3"/>
    </row>
    <row r="16" spans="2:12">
      <c r="B16" s="2" t="s">
        <v>16</v>
      </c>
      <c r="C16">
        <v>35010</v>
      </c>
      <c r="E16" s="3" t="s">
        <v>16</v>
      </c>
      <c r="F16" s="3">
        <f>SUM(F4:F15)</f>
        <v>35010</v>
      </c>
      <c r="G16" s="3">
        <f>SUM(G4:G15)</f>
        <v>6360</v>
      </c>
      <c r="H16" s="3"/>
    </row>
    <row r="19" spans="2:6">
      <c r="B19" s="4" t="s">
        <v>17</v>
      </c>
      <c r="C19" s="5"/>
      <c r="D19" s="5"/>
      <c r="E19" s="5"/>
      <c r="F19">
        <f>F16-G16</f>
        <v>28650</v>
      </c>
    </row>
    <row r="20" spans="2:6">
      <c r="B20" s="4" t="s">
        <v>18</v>
      </c>
      <c r="F20" s="6">
        <v>54469.5</v>
      </c>
    </row>
    <row r="21" spans="2:6">
      <c r="E21" s="7" t="s">
        <v>19</v>
      </c>
      <c r="F21">
        <f>SUM(F19:F20)</f>
        <v>83119.5</v>
      </c>
    </row>
    <row r="24" spans="2:6" ht="21">
      <c r="B24" s="8" t="s">
        <v>20</v>
      </c>
    </row>
    <row r="27" spans="2:6" ht="18">
      <c r="B27" s="9" t="s">
        <v>0</v>
      </c>
      <c r="C27" s="9" t="s">
        <v>1</v>
      </c>
    </row>
    <row r="28" spans="2:6" ht="18">
      <c r="B28" s="10" t="s">
        <v>21</v>
      </c>
      <c r="C28" s="9">
        <v>6495</v>
      </c>
    </row>
    <row r="29" spans="2:6" ht="18">
      <c r="B29" s="10" t="s">
        <v>22</v>
      </c>
      <c r="C29" s="9">
        <v>6525</v>
      </c>
    </row>
    <row r="30" spans="2:6" ht="18">
      <c r="B30" s="10" t="s">
        <v>23</v>
      </c>
      <c r="C30" s="9">
        <v>7610</v>
      </c>
    </row>
    <row r="31" spans="2:6" ht="18">
      <c r="B31" s="10" t="s">
        <v>24</v>
      </c>
      <c r="C31" s="9">
        <v>14380</v>
      </c>
    </row>
    <row r="32" spans="2:6" ht="18">
      <c r="B32" s="10" t="s">
        <v>16</v>
      </c>
      <c r="C32" s="9">
        <v>35010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hadi</dc:creator>
  <cp:lastModifiedBy>abdul hadi</cp:lastModifiedBy>
  <dcterms:created xsi:type="dcterms:W3CDTF">2025-11-08T16:19:22Z</dcterms:created>
  <dcterms:modified xsi:type="dcterms:W3CDTF">2025-11-08T16:19:45Z</dcterms:modified>
</cp:coreProperties>
</file>